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lation wise data " sheetId="1" r:id="rId5"/>
  </sheets>
  <definedNames/>
  <calcPr/>
</workbook>
</file>

<file path=xl/sharedStrings.xml><?xml version="1.0" encoding="utf-8"?>
<sst xmlns="http://schemas.openxmlformats.org/spreadsheetml/2006/main" count="2344" uniqueCount="349">
  <si>
    <t>No.</t>
  </si>
  <si>
    <t>Invoice Date</t>
  </si>
  <si>
    <t xml:space="preserve">Size </t>
  </si>
  <si>
    <t xml:space="preserve">Type of 
Insulation </t>
  </si>
  <si>
    <t>Covering 
Thickness</t>
  </si>
  <si>
    <t>Alu / Cop</t>
  </si>
  <si>
    <t xml:space="preserve">Actual Bare wt </t>
  </si>
  <si>
    <t>Final Dis.Qty.</t>
  </si>
  <si>
    <t xml:space="preserve">Insulation wt 
kg </t>
  </si>
  <si>
    <t>Scrap</t>
  </si>
  <si>
    <t xml:space="preserve">Insulation 
Per % </t>
  </si>
  <si>
    <t>Invoice no 
GST2526-</t>
  </si>
  <si>
    <t xml:space="preserve">Insulation -1 </t>
  </si>
  <si>
    <t xml:space="preserve">Insulation - 2 </t>
  </si>
  <si>
    <t xml:space="preserve">Total Insulation </t>
  </si>
  <si>
    <t xml:space="preserve">April Month 2025 [ DFG ] </t>
  </si>
  <si>
    <t>April 2025 [ Mpdfg / Dpdfg ]</t>
  </si>
  <si>
    <t>April 2025 [ Edfg ]</t>
  </si>
  <si>
    <t xml:space="preserve">April 2025 [ Poly + Paper ] &amp; Only Paper </t>
  </si>
  <si>
    <t>April 2025 [ Cotton ]</t>
  </si>
  <si>
    <t xml:space="preserve">April 2025  [Dpdcc ] </t>
  </si>
  <si>
    <t xml:space="preserve">April 2025 [ Polyster ] </t>
  </si>
  <si>
    <t>15.00 X 6.00</t>
  </si>
  <si>
    <t>DFG</t>
  </si>
  <si>
    <t>0.50-.55</t>
  </si>
  <si>
    <t>---</t>
  </si>
  <si>
    <t>Alu</t>
  </si>
  <si>
    <t>14.00 X 3.50</t>
  </si>
  <si>
    <t xml:space="preserve">3 Poly + Fibre  </t>
  </si>
  <si>
    <t xml:space="preserve"> </t>
  </si>
  <si>
    <t>6.25 X 1.40</t>
  </si>
  <si>
    <t>Edfg</t>
  </si>
  <si>
    <t>Cop</t>
  </si>
  <si>
    <t xml:space="preserve"> Poly + Paper &amp; Only Paper  [ No production ] In April Month </t>
  </si>
  <si>
    <t xml:space="preserve">6 swg </t>
  </si>
  <si>
    <t xml:space="preserve">Cotton </t>
  </si>
  <si>
    <t xml:space="preserve">8 swg </t>
  </si>
  <si>
    <t xml:space="preserve">Poly + Cotton </t>
  </si>
  <si>
    <t>--</t>
  </si>
  <si>
    <t>9.00 X 3.00</t>
  </si>
  <si>
    <t>3 Poly</t>
  </si>
  <si>
    <t>12.00 X 5.00</t>
  </si>
  <si>
    <t>14.00 X 4.50</t>
  </si>
  <si>
    <t>3 Poly + Fibre</t>
  </si>
  <si>
    <t xml:space="preserve">10 swg </t>
  </si>
  <si>
    <t>7 swg</t>
  </si>
  <si>
    <t>8.00 X 3.00</t>
  </si>
  <si>
    <t>14.60 X 4.10</t>
  </si>
  <si>
    <t>12.00 X 3.00</t>
  </si>
  <si>
    <t>May 2025 [ Edfg ]</t>
  </si>
  <si>
    <t>8.00 X 4.00</t>
  </si>
  <si>
    <t>9 swg</t>
  </si>
  <si>
    <t>5.00 X 3.00</t>
  </si>
  <si>
    <t>10.00 X 4.00</t>
  </si>
  <si>
    <t>8.00 X 2.00</t>
  </si>
  <si>
    <t>4.80 X 1.40</t>
  </si>
  <si>
    <t xml:space="preserve">May 2025 [ Poly + Paper ] &amp; Only Paper </t>
  </si>
  <si>
    <t>7.00 X 2.70</t>
  </si>
  <si>
    <t>7.00 X 3.00</t>
  </si>
  <si>
    <t>10.00 X 6.00</t>
  </si>
  <si>
    <t>5.40  X 1.20</t>
  </si>
  <si>
    <t>10.21 X 3.10</t>
  </si>
  <si>
    <t xml:space="preserve">2 Paper </t>
  </si>
  <si>
    <t>5.00 X 2.60</t>
  </si>
  <si>
    <t>6.00 X 3.00</t>
  </si>
  <si>
    <t xml:space="preserve">May 2025 [ Mpdfg / Dpdfg ] </t>
  </si>
  <si>
    <t>4.87 X 1.95</t>
  </si>
  <si>
    <t xml:space="preserve">3.09 mm </t>
  </si>
  <si>
    <t>2 Paper</t>
  </si>
  <si>
    <t xml:space="preserve">May 2025 [ Dpdcc ] </t>
  </si>
  <si>
    <t>5.00 X 2.40</t>
  </si>
  <si>
    <t xml:space="preserve">3 Poly </t>
  </si>
  <si>
    <t>7.00 X 1.50</t>
  </si>
  <si>
    <t>4.10 X 2.90</t>
  </si>
  <si>
    <t>9.50 X 2.80</t>
  </si>
  <si>
    <t xml:space="preserve">3 Paper </t>
  </si>
  <si>
    <t xml:space="preserve">1 swg </t>
  </si>
  <si>
    <t>10.00 X 3.00</t>
  </si>
  <si>
    <t>10.00 X 5.00</t>
  </si>
  <si>
    <t>10.00 X 3.50</t>
  </si>
  <si>
    <t>5.50 X 2.50</t>
  </si>
  <si>
    <t xml:space="preserve">Edfg </t>
  </si>
  <si>
    <t>4.50 X 2.50</t>
  </si>
  <si>
    <t xml:space="preserve">2 swg </t>
  </si>
  <si>
    <t>4.47 mm</t>
  </si>
  <si>
    <t>4 Poly</t>
  </si>
  <si>
    <t>13.50 X 8. 00</t>
  </si>
  <si>
    <t>6.00 X 1.50</t>
  </si>
  <si>
    <t xml:space="preserve">6 Poly + Fibre </t>
  </si>
  <si>
    <t>0.75-.80</t>
  </si>
  <si>
    <t>1.30-.35</t>
  </si>
  <si>
    <t>5.00 X 2.25</t>
  </si>
  <si>
    <t>8.20 X 4.30</t>
  </si>
  <si>
    <t>8 swg</t>
  </si>
  <si>
    <t xml:space="preserve">May 20225 [ Polyster ] </t>
  </si>
  <si>
    <t>12.00 X 2.00</t>
  </si>
  <si>
    <t>6 Poly + Fibre</t>
  </si>
  <si>
    <t>4.20 X 1.40</t>
  </si>
  <si>
    <t xml:space="preserve">9 swg </t>
  </si>
  <si>
    <t>14.00 X 3.00</t>
  </si>
  <si>
    <t>5.30 X 2.50</t>
  </si>
  <si>
    <t>May 2025 [ Cotton ]</t>
  </si>
  <si>
    <t>14.00 X 4.00</t>
  </si>
  <si>
    <t xml:space="preserve">0.75-.80 </t>
  </si>
  <si>
    <t xml:space="preserve">June 2025 [ Poly + Paper ] &amp; Only Paper </t>
  </si>
  <si>
    <t xml:space="preserve">June 20205 [ Dpdcc ] </t>
  </si>
  <si>
    <t>7.50 X 3.00</t>
  </si>
  <si>
    <t>9.00 X 2.00</t>
  </si>
  <si>
    <t xml:space="preserve">7 swg </t>
  </si>
  <si>
    <t xml:space="preserve">June 2025 [ Mpdfg / Dpdfg ] </t>
  </si>
  <si>
    <t xml:space="preserve">June 2025 [ Edfg ] </t>
  </si>
  <si>
    <t>10.60 X 2.75</t>
  </si>
  <si>
    <t>June 2025 [ Cotton ]</t>
  </si>
  <si>
    <t>6 swg</t>
  </si>
  <si>
    <t>----</t>
  </si>
  <si>
    <t xml:space="preserve">May Month  2025 [ DFG ] </t>
  </si>
  <si>
    <t>10.00 X 3.75</t>
  </si>
  <si>
    <t>4.50 X 2.00</t>
  </si>
  <si>
    <t>11.85 X 3.60</t>
  </si>
  <si>
    <t>5 swg</t>
  </si>
  <si>
    <t>8.00 X 1.50</t>
  </si>
  <si>
    <t>3 Paper</t>
  </si>
  <si>
    <t xml:space="preserve">4 swg </t>
  </si>
  <si>
    <t>5.50 X 1.10</t>
  </si>
  <si>
    <t xml:space="preserve">July 2025 [ Mpdfg / Dpdfg ] </t>
  </si>
  <si>
    <t>11.95 X 3.00</t>
  </si>
  <si>
    <t>2 swg</t>
  </si>
  <si>
    <t>4.90 X 1.30</t>
  </si>
  <si>
    <t>16.00 X 3.00</t>
  </si>
  <si>
    <t>111 / 118 / 163</t>
  </si>
  <si>
    <t xml:space="preserve">July 2025 [ Edfg ] </t>
  </si>
  <si>
    <t>10.70 X 3.00</t>
  </si>
  <si>
    <t>0 swg</t>
  </si>
  <si>
    <t xml:space="preserve">July 2025 [ Dpdcc ] </t>
  </si>
  <si>
    <t xml:space="preserve">118 / 135 / 157 </t>
  </si>
  <si>
    <t>6.70 X 3.00</t>
  </si>
  <si>
    <t>4.50 X 2.40</t>
  </si>
  <si>
    <t xml:space="preserve">July 2025 [ Poly + Paper ] &amp; Only Paper </t>
  </si>
  <si>
    <t>4.60 X 2.60</t>
  </si>
  <si>
    <t>15.00 X 3.00</t>
  </si>
  <si>
    <t>Poly + Paper</t>
  </si>
  <si>
    <t xml:space="preserve">1 poly </t>
  </si>
  <si>
    <t>2 paper</t>
  </si>
  <si>
    <t xml:space="preserve">4.40 mm </t>
  </si>
  <si>
    <t>45 / 59</t>
  </si>
  <si>
    <t xml:space="preserve">August 2025 [ Mpdfg / Dpfdg ] </t>
  </si>
  <si>
    <t>August 2025 [ Edfg ]</t>
  </si>
  <si>
    <t>1 poly</t>
  </si>
  <si>
    <t xml:space="preserve">5 swg </t>
  </si>
  <si>
    <t xml:space="preserve">5.00 mm </t>
  </si>
  <si>
    <t xml:space="preserve">177 / 189 </t>
  </si>
  <si>
    <t xml:space="preserve">6.50 X 2.89 </t>
  </si>
  <si>
    <t>8.00 X 2.50</t>
  </si>
  <si>
    <t>7.40 X 3.00</t>
  </si>
  <si>
    <t>2.50 mm</t>
  </si>
  <si>
    <t xml:space="preserve">6.30 X 1.30 </t>
  </si>
  <si>
    <t>6.80 X 3.00</t>
  </si>
  <si>
    <t xml:space="preserve">September  2025 [ Mpdfg / Dpdfg ] </t>
  </si>
  <si>
    <t>4.40 X 2.40</t>
  </si>
  <si>
    <t xml:space="preserve">2.65 mm </t>
  </si>
  <si>
    <t>4 swg</t>
  </si>
  <si>
    <t xml:space="preserve">June 2025 [ Polyster ] </t>
  </si>
  <si>
    <t>5.00 X 2.50</t>
  </si>
  <si>
    <t>5.40 X 3.00</t>
  </si>
  <si>
    <t>September 2025 [ Edfg ]</t>
  </si>
  <si>
    <t>9.80 X 2.50</t>
  </si>
  <si>
    <t xml:space="preserve">5.60 mm </t>
  </si>
  <si>
    <t>5.50 X 2.00</t>
  </si>
  <si>
    <t>10.00 X 3.60</t>
  </si>
  <si>
    <t>5.50 X 2.60</t>
  </si>
  <si>
    <t xml:space="preserve">August 2025 [ Dpdcc ] </t>
  </si>
  <si>
    <t>3 Polu</t>
  </si>
  <si>
    <t>13.50 X 8.00</t>
  </si>
  <si>
    <t>8.90 X 1.20</t>
  </si>
  <si>
    <t>7.00 X 4.00</t>
  </si>
  <si>
    <t>11.00 X 3.00</t>
  </si>
  <si>
    <t>12.00 X 2.50</t>
  </si>
  <si>
    <t xml:space="preserve">October 2025 [ Mpdfg / Dpdfg ] </t>
  </si>
  <si>
    <t>3.80 X 2.00</t>
  </si>
  <si>
    <t>4.00 X 2.50</t>
  </si>
  <si>
    <t>9.00 X 5.00</t>
  </si>
  <si>
    <t>13.00 X 3.00</t>
  </si>
  <si>
    <t xml:space="preserve">3 Poly + Fibre </t>
  </si>
  <si>
    <t>6.20 X 1.20</t>
  </si>
  <si>
    <t>11.50 X 2.75</t>
  </si>
  <si>
    <t>12.00 X 6.00</t>
  </si>
  <si>
    <t xml:space="preserve">June Month 2025 [ DFG ] </t>
  </si>
  <si>
    <t>6.00 X 1.60</t>
  </si>
  <si>
    <t>105 &amp; 108</t>
  </si>
  <si>
    <t>10.00 X 2.00</t>
  </si>
  <si>
    <t>7.00 X 1.60</t>
  </si>
  <si>
    <t>10 swg</t>
  </si>
  <si>
    <t>10.40 X 3.00</t>
  </si>
  <si>
    <t xml:space="preserve">8.25 mm </t>
  </si>
  <si>
    <t>October 2025 [ Edfg ]</t>
  </si>
  <si>
    <t>11.00 X 2.80</t>
  </si>
  <si>
    <t>5.40 X 2.60</t>
  </si>
  <si>
    <t>8.40 mm</t>
  </si>
  <si>
    <t>4.70 X 2.30</t>
  </si>
  <si>
    <t>6.50 X 2.45</t>
  </si>
  <si>
    <t xml:space="preserve">July 2025 [ Cotton ] </t>
  </si>
  <si>
    <t>4.50 X 1.80</t>
  </si>
  <si>
    <t>8.25 mm</t>
  </si>
  <si>
    <t xml:space="preserve">16.00 X 3.00 </t>
  </si>
  <si>
    <t>5.00 X 2.20</t>
  </si>
  <si>
    <t xml:space="preserve">2.35 mm </t>
  </si>
  <si>
    <t xml:space="preserve">8.70 mm </t>
  </si>
  <si>
    <t>4.30 X 1.25</t>
  </si>
  <si>
    <t>1 swg</t>
  </si>
  <si>
    <t>5.63 mm</t>
  </si>
  <si>
    <t xml:space="preserve">Novermber 2025 [ Mpdfg / Dpdfg ] </t>
  </si>
  <si>
    <t>5.00 X 1.30</t>
  </si>
  <si>
    <t>August 2025 [ Poly + Paper ] &amp; Only Paper ]</t>
  </si>
  <si>
    <t>7.02 X 2.49</t>
  </si>
  <si>
    <t>9.35 X 2.80</t>
  </si>
  <si>
    <t>.3.5</t>
  </si>
  <si>
    <t xml:space="preserve">September 2025 [ Dpdcc ] </t>
  </si>
  <si>
    <t>2.90 X 1.30</t>
  </si>
  <si>
    <t>11.00 X 3.70</t>
  </si>
  <si>
    <t>14.00 X 6.00</t>
  </si>
  <si>
    <t>87/94/112</t>
  </si>
  <si>
    <t xml:space="preserve">Desember 2025 [ Mpdfg / Dpdfg ] </t>
  </si>
  <si>
    <t xml:space="preserve">2.13 mm </t>
  </si>
  <si>
    <t>133 / 149 / 158</t>
  </si>
  <si>
    <t xml:space="preserve">--- </t>
  </si>
  <si>
    <t xml:space="preserve">7.00 X 2.70 </t>
  </si>
  <si>
    <t>November 2025 [ Edfg ]</t>
  </si>
  <si>
    <t>7.00 X 3.05</t>
  </si>
  <si>
    <t>11.20 X 3.30</t>
  </si>
  <si>
    <t>5.00 X 1.80</t>
  </si>
  <si>
    <t>7.15 X 1.35</t>
  </si>
  <si>
    <t>9.00 X 2.62</t>
  </si>
  <si>
    <t xml:space="preserve">August 2025 [ Cotton ] </t>
  </si>
  <si>
    <t>11.55 X 6.10</t>
  </si>
  <si>
    <t>6.50 X 2.50</t>
  </si>
  <si>
    <t>9.20 X 5.00</t>
  </si>
  <si>
    <t>13.60 X 3.40</t>
  </si>
  <si>
    <t xml:space="preserve">172 / 178 </t>
  </si>
  <si>
    <t>5.60 X 3.60</t>
  </si>
  <si>
    <t>4.90 X 1.50</t>
  </si>
  <si>
    <t xml:space="preserve">172 / 178 / 201 </t>
  </si>
  <si>
    <t xml:space="preserve">226 / 234 </t>
  </si>
  <si>
    <t>10.00 X 2.60</t>
  </si>
  <si>
    <t xml:space="preserve">July 2025 [ Polyster ] </t>
  </si>
  <si>
    <t>5.85 X 2.70</t>
  </si>
  <si>
    <t>4.40 mm</t>
  </si>
  <si>
    <t>July Month  2025 [ DFG ]</t>
  </si>
  <si>
    <t>3.80  X 1.50</t>
  </si>
  <si>
    <t>10.00 X 2.50</t>
  </si>
  <si>
    <t>October 2025 [ Dpdcc ]</t>
  </si>
  <si>
    <t xml:space="preserve">3 or 4 </t>
  </si>
  <si>
    <t>9.70 X 2.55</t>
  </si>
  <si>
    <t>9.30 X 3.00</t>
  </si>
  <si>
    <t xml:space="preserve">December 2025 [ Edfg ] </t>
  </si>
  <si>
    <t>6.50 X 1.40</t>
  </si>
  <si>
    <t>September  [ Cotton ]</t>
  </si>
  <si>
    <t>12.40 X 3.00</t>
  </si>
  <si>
    <t>8.75 X 4.50</t>
  </si>
  <si>
    <t>201 &amp; 210</t>
  </si>
  <si>
    <t>7.80 X 3.87</t>
  </si>
  <si>
    <t xml:space="preserve">November 2025 [ Dpdcc ] </t>
  </si>
  <si>
    <t>13.60 X 4.60</t>
  </si>
  <si>
    <t xml:space="preserve">Dpdcc No Production in November </t>
  </si>
  <si>
    <t xml:space="preserve">Polyster </t>
  </si>
  <si>
    <t>September 2025 [ Poly + Paper ] [ Only Paper ]</t>
  </si>
  <si>
    <t>217 &amp; 230</t>
  </si>
  <si>
    <t>9.80 X 2.60</t>
  </si>
  <si>
    <t xml:space="preserve">Poly + Paper </t>
  </si>
  <si>
    <t xml:space="preserve">December 2025 [ Dpdcc ] </t>
  </si>
  <si>
    <t>9.80 X 2.70</t>
  </si>
  <si>
    <t xml:space="preserve">6 awg </t>
  </si>
  <si>
    <t>10.70 X 2.115</t>
  </si>
  <si>
    <t>Paper</t>
  </si>
  <si>
    <t>14.40 X 3.25</t>
  </si>
  <si>
    <t xml:space="preserve">POly + Paper </t>
  </si>
  <si>
    <t>?</t>
  </si>
  <si>
    <t>Paper / dpc</t>
  </si>
  <si>
    <t>15.00 X 2.50</t>
  </si>
  <si>
    <t>13.80 X 2.95</t>
  </si>
  <si>
    <t>10.00 X 4.40</t>
  </si>
  <si>
    <t>9.95 X 2.00</t>
  </si>
  <si>
    <t>4.00 X 2.00</t>
  </si>
  <si>
    <t xml:space="preserve">October 2025 [ Cotton ] </t>
  </si>
  <si>
    <t xml:space="preserve">August 2025 [DFG ] </t>
  </si>
  <si>
    <t>232 / 241</t>
  </si>
  <si>
    <t xml:space="preserve">October  2025 [ Poly + Paper ] &amp; Only  Ppaper </t>
  </si>
  <si>
    <t>5.00 X 2.00</t>
  </si>
  <si>
    <t>0.47-.50</t>
  </si>
  <si>
    <t xml:space="preserve">0 swg </t>
  </si>
  <si>
    <t>6.00 X 2.00</t>
  </si>
  <si>
    <t>September 2025   [ Polyster ]</t>
  </si>
  <si>
    <t>9.00 X 2.90</t>
  </si>
  <si>
    <t>0.37-.40</t>
  </si>
  <si>
    <t>8.50 X 2.20</t>
  </si>
  <si>
    <t>November 2025 [ Cotton ]</t>
  </si>
  <si>
    <t>8.15 X 2.20</t>
  </si>
  <si>
    <t>0.38-.40</t>
  </si>
  <si>
    <t>7.50 X 2.00</t>
  </si>
  <si>
    <t>0.40-.45</t>
  </si>
  <si>
    <t xml:space="preserve">234 / 251 </t>
  </si>
  <si>
    <t>11.40 X 2.60</t>
  </si>
  <si>
    <t xml:space="preserve">2.80 mm </t>
  </si>
  <si>
    <t>Tpc</t>
  </si>
  <si>
    <t>October 2025 [ Polyster ]</t>
  </si>
  <si>
    <t>6.00 X 3.50</t>
  </si>
  <si>
    <t>3 swg</t>
  </si>
  <si>
    <t>3 Polyster</t>
  </si>
  <si>
    <t>267 / 269</t>
  </si>
  <si>
    <t>Dpc</t>
  </si>
  <si>
    <t xml:space="preserve"> 3 Polyster </t>
  </si>
  <si>
    <t>November 2025 [ Polyster ]</t>
  </si>
  <si>
    <t>14.00 X 1.40</t>
  </si>
  <si>
    <t xml:space="preserve">3 swg </t>
  </si>
  <si>
    <t xml:space="preserve">Desember 2025 [ Cotton ] </t>
  </si>
  <si>
    <t xml:space="preserve">November 2025 [ Poly + Paper ] &amp; Only Paper </t>
  </si>
  <si>
    <t>10.25 X 2.55</t>
  </si>
  <si>
    <t xml:space="preserve">2.10 mm </t>
  </si>
  <si>
    <t>0.50-.56</t>
  </si>
  <si>
    <t xml:space="preserve">3.40 mm </t>
  </si>
  <si>
    <t>0.50-.57</t>
  </si>
  <si>
    <t>6.60 X 1.50</t>
  </si>
  <si>
    <t>0.50-.58</t>
  </si>
  <si>
    <t>8.00 X 2.40</t>
  </si>
  <si>
    <t>0.50-.59</t>
  </si>
  <si>
    <t>September Month  2025 [ DFG ]</t>
  </si>
  <si>
    <t>11.80 X 2.30</t>
  </si>
  <si>
    <t xml:space="preserve">ALU </t>
  </si>
  <si>
    <t>205 / 209</t>
  </si>
  <si>
    <t>6.00 X 4.00</t>
  </si>
  <si>
    <t>8.30 X 2.80</t>
  </si>
  <si>
    <t>14.00 X 2.50</t>
  </si>
  <si>
    <t xml:space="preserve">1.62 mm </t>
  </si>
  <si>
    <t>6.80 X 1.90</t>
  </si>
  <si>
    <t>5.20 X 1.80</t>
  </si>
  <si>
    <t>9.60 X 2.60</t>
  </si>
  <si>
    <t>210 / 217</t>
  </si>
  <si>
    <t>10.00 X 2.80</t>
  </si>
  <si>
    <t>10.00 X 4.50</t>
  </si>
  <si>
    <t>COP</t>
  </si>
  <si>
    <t>10.20 X 1.70</t>
  </si>
  <si>
    <t xml:space="preserve">December 2025 [ Poly + Paper ] &amp; Only Paper </t>
  </si>
  <si>
    <t>15.00 X 5.00</t>
  </si>
  <si>
    <t>October Month 2025 [ DFG ]</t>
  </si>
  <si>
    <t>8.00 X 2.20</t>
  </si>
  <si>
    <t>256/260/268</t>
  </si>
  <si>
    <t>10.50 X 3.00</t>
  </si>
  <si>
    <t>November 2025 [ DFG ]</t>
  </si>
  <si>
    <t>10.00 X  2.00</t>
  </si>
  <si>
    <t xml:space="preserve">--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</si>
</sst>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  <scheme val="minor"/>
    </font>
    <font>
      <b/>
      <color rgb="FFFF0000"/>
      <name val="Arial"/>
      <scheme val="minor"/>
    </font>
    <font>
      <b/>
      <sz val="11.0"/>
      <color theme="1"/>
      <name val="Arial"/>
      <scheme val="minor"/>
    </font>
    <font>
      <b/>
      <sz val="12.0"/>
      <color rgb="FF000000"/>
      <name val="Arial"/>
      <scheme val="minor"/>
    </font>
    <font>
      <b/>
      <sz val="13.0"/>
      <color theme="1"/>
      <name val="Arial"/>
      <scheme val="minor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00FF00"/>
        <bgColor rgb="FF00FF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</border>
    <border>
      <left style="thin">
        <color rgb="FF00FF00"/>
      </left>
      <top style="thin">
        <color rgb="FF00FF00"/>
      </top>
      <bottom style="thin">
        <color rgb="FF00FF00"/>
      </bottom>
    </border>
    <border>
      <top style="thin">
        <color rgb="FF00FF00"/>
      </top>
      <bottom style="thin">
        <color rgb="FF00FF00"/>
      </bottom>
    </border>
    <border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bottom style="thin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5" fillId="4" fontId="2" numFmtId="0" xfId="0" applyAlignment="1" applyBorder="1" applyFill="1" applyFont="1">
      <alignment horizontal="center" readingOrder="0" vertical="center"/>
    </xf>
    <xf borderId="6" fillId="4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1" fillId="5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2" fillId="7" fontId="2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2" fillId="8" fontId="2" numFmtId="0" xfId="0" applyAlignment="1" applyBorder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9" fillId="0" fontId="3" numFmtId="0" xfId="0" applyBorder="1" applyFont="1"/>
    <xf borderId="10" fillId="2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4" fontId="2" numFmtId="0" xfId="0" applyAlignment="1" applyBorder="1" applyFont="1">
      <alignment horizontal="center" readingOrder="0" vertical="center"/>
    </xf>
    <xf borderId="10" fillId="5" fontId="2" numFmtId="0" xfId="0" applyAlignment="1" applyBorder="1" applyFont="1">
      <alignment horizontal="center" readingOrder="0" vertical="center"/>
    </xf>
    <xf borderId="10" fillId="6" fontId="2" numFmtId="0" xfId="0" applyAlignment="1" applyBorder="1" applyFont="1">
      <alignment horizontal="center" readingOrder="0" vertical="center"/>
    </xf>
    <xf borderId="10" fillId="7" fontId="2" numFmtId="0" xfId="0" applyAlignment="1" applyBorder="1" applyFont="1">
      <alignment horizontal="center" readingOrder="0" vertical="center"/>
    </xf>
    <xf borderId="10" fillId="8" fontId="2" numFmtId="0" xfId="0" applyAlignment="1" applyBorder="1" applyFont="1">
      <alignment horizontal="center" readingOrder="0" vertical="center"/>
    </xf>
    <xf borderId="0" fillId="9" fontId="1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13" fillId="5" fontId="4" numFmtId="0" xfId="0" applyAlignment="1" applyBorder="1" applyFont="1">
      <alignment horizontal="center" readingOrder="0" vertical="center"/>
    </xf>
    <xf borderId="14" fillId="0" fontId="3" numFmtId="0" xfId="0" applyBorder="1" applyFont="1"/>
    <xf borderId="15" fillId="0" fontId="3" numFmtId="0" xfId="0" applyBorder="1" applyFont="1"/>
    <xf borderId="2" fillId="6" fontId="4" numFmtId="0" xfId="0" applyAlignment="1" applyBorder="1" applyFont="1">
      <alignment horizontal="center" readingOrder="0" vertical="center"/>
    </xf>
    <xf borderId="2" fillId="7" fontId="4" numFmtId="0" xfId="0" applyAlignment="1" applyBorder="1" applyFon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10" fillId="10" fontId="1" numFmtId="0" xfId="0" applyAlignment="1" applyBorder="1" applyFill="1" applyFont="1">
      <alignment horizontal="center" readingOrder="0" vertical="center"/>
    </xf>
    <xf borderId="16" fillId="0" fontId="6" numFmtId="0" xfId="0" applyAlignment="1" applyBorder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2" fillId="0" fontId="1" numFmtId="0" xfId="0" applyAlignment="1" applyBorder="1" applyFont="1">
      <alignment horizontal="center" vertical="center"/>
    </xf>
    <xf borderId="13" fillId="0" fontId="3" numFmtId="0" xfId="0" applyBorder="1" applyFont="1"/>
    <xf borderId="2" fillId="4" fontId="4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10" fillId="3" fontId="1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0" fillId="9" fontId="5" numFmtId="0" xfId="0" applyAlignment="1" applyBorder="1" applyFont="1">
      <alignment horizontal="center" vertical="center"/>
    </xf>
    <xf borderId="10" fillId="11" fontId="1" numFmtId="0" xfId="0" applyAlignment="1" applyBorder="1" applyFill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6" fillId="4" fontId="4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 vertical="center"/>
    </xf>
    <xf borderId="2" fillId="9" fontId="7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horizontal="center" readingOrder="0" vertical="center"/>
    </xf>
    <xf borderId="10" fillId="0" fontId="1" numFmtId="0" xfId="0" applyBorder="1" applyFont="1"/>
    <xf borderId="2" fillId="9" fontId="4" numFmtId="0" xfId="0" applyAlignment="1" applyBorder="1" applyFont="1">
      <alignment horizontal="center" readingOrder="0" vertical="center"/>
    </xf>
    <xf borderId="3" fillId="9" fontId="4" numFmtId="0" xfId="0" applyAlignment="1" applyBorder="1" applyFont="1">
      <alignment horizontal="center" readingOrder="0" vertical="center"/>
    </xf>
    <xf borderId="4" fillId="9" fontId="4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12" fontId="4" numFmtId="0" xfId="0" applyAlignment="1" applyFill="1" applyFont="1">
      <alignment horizontal="center" readingOrder="0" vertical="center"/>
    </xf>
    <xf borderId="2" fillId="12" fontId="4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vertical="center"/>
    </xf>
    <xf borderId="10" fillId="9" fontId="1" numFmtId="0" xfId="0" applyAlignment="1" applyBorder="1" applyFont="1">
      <alignment horizontal="center" readingOrder="0" vertical="center"/>
    </xf>
    <xf borderId="0" fillId="9" fontId="4" numFmtId="0" xfId="0" applyAlignment="1" applyFont="1">
      <alignment horizontal="center" readingOrder="0" vertical="center"/>
    </xf>
    <xf borderId="10" fillId="9" fontId="2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9BE6EB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7" max="7" width="13.38"/>
    <col customWidth="1" min="8" max="8" width="10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4"/>
      <c r="G3" s="5"/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1"/>
      <c r="P3" s="6" t="s">
        <v>0</v>
      </c>
      <c r="Q3" s="6" t="s">
        <v>1</v>
      </c>
      <c r="R3" s="6" t="s">
        <v>2</v>
      </c>
      <c r="S3" s="6" t="s">
        <v>3</v>
      </c>
      <c r="T3" s="7" t="s">
        <v>4</v>
      </c>
      <c r="U3" s="4"/>
      <c r="V3" s="5"/>
      <c r="W3" s="6" t="s">
        <v>5</v>
      </c>
      <c r="X3" s="6" t="s">
        <v>6</v>
      </c>
      <c r="Y3" s="6" t="s">
        <v>7</v>
      </c>
      <c r="Z3" s="6" t="s">
        <v>8</v>
      </c>
      <c r="AA3" s="6" t="s">
        <v>9</v>
      </c>
      <c r="AB3" s="6" t="s">
        <v>10</v>
      </c>
      <c r="AC3" s="6" t="s">
        <v>11</v>
      </c>
      <c r="AD3" s="1"/>
      <c r="AE3" s="8" t="s">
        <v>0</v>
      </c>
      <c r="AF3" s="8" t="s">
        <v>1</v>
      </c>
      <c r="AG3" s="8" t="s">
        <v>2</v>
      </c>
      <c r="AH3" s="8" t="s">
        <v>3</v>
      </c>
      <c r="AI3" s="9" t="s">
        <v>4</v>
      </c>
      <c r="AJ3" s="10"/>
      <c r="AK3" s="11"/>
      <c r="AL3" s="8" t="s">
        <v>5</v>
      </c>
      <c r="AM3" s="8" t="s">
        <v>6</v>
      </c>
      <c r="AN3" s="8" t="s">
        <v>7</v>
      </c>
      <c r="AO3" s="8" t="s">
        <v>8</v>
      </c>
      <c r="AP3" s="8" t="s">
        <v>9</v>
      </c>
      <c r="AQ3" s="8" t="s">
        <v>10</v>
      </c>
      <c r="AR3" s="8" t="s">
        <v>11</v>
      </c>
      <c r="AS3" s="1"/>
      <c r="AT3" s="12" t="s">
        <v>0</v>
      </c>
      <c r="AU3" s="12" t="s">
        <v>1</v>
      </c>
      <c r="AV3" s="12" t="s">
        <v>2</v>
      </c>
      <c r="AW3" s="12" t="s">
        <v>3</v>
      </c>
      <c r="AX3" s="13" t="s">
        <v>4</v>
      </c>
      <c r="AY3" s="4"/>
      <c r="AZ3" s="5"/>
      <c r="BA3" s="12" t="s">
        <v>5</v>
      </c>
      <c r="BB3" s="12" t="s">
        <v>6</v>
      </c>
      <c r="BC3" s="12" t="s">
        <v>7</v>
      </c>
      <c r="BD3" s="12" t="s">
        <v>8</v>
      </c>
      <c r="BE3" s="12" t="s">
        <v>9</v>
      </c>
      <c r="BF3" s="12" t="s">
        <v>10</v>
      </c>
      <c r="BG3" s="12" t="s">
        <v>11</v>
      </c>
      <c r="BH3" s="1"/>
      <c r="BI3" s="14" t="s">
        <v>0</v>
      </c>
      <c r="BJ3" s="14" t="s">
        <v>1</v>
      </c>
      <c r="BK3" s="14" t="s">
        <v>2</v>
      </c>
      <c r="BL3" s="14" t="s">
        <v>3</v>
      </c>
      <c r="BM3" s="15" t="s">
        <v>4</v>
      </c>
      <c r="BN3" s="4"/>
      <c r="BO3" s="5"/>
      <c r="BP3" s="14" t="s">
        <v>5</v>
      </c>
      <c r="BQ3" s="14" t="s">
        <v>6</v>
      </c>
      <c r="BR3" s="14" t="s">
        <v>7</v>
      </c>
      <c r="BS3" s="14" t="s">
        <v>8</v>
      </c>
      <c r="BT3" s="14" t="s">
        <v>9</v>
      </c>
      <c r="BU3" s="14" t="s">
        <v>10</v>
      </c>
      <c r="BV3" s="14" t="s">
        <v>11</v>
      </c>
      <c r="BW3" s="1"/>
      <c r="BX3" s="16" t="s">
        <v>0</v>
      </c>
      <c r="BY3" s="16" t="s">
        <v>1</v>
      </c>
      <c r="BZ3" s="16" t="s">
        <v>2</v>
      </c>
      <c r="CA3" s="16" t="s">
        <v>3</v>
      </c>
      <c r="CB3" s="17" t="s">
        <v>4</v>
      </c>
      <c r="CC3" s="4"/>
      <c r="CD3" s="5"/>
      <c r="CE3" s="16" t="s">
        <v>5</v>
      </c>
      <c r="CF3" s="16" t="s">
        <v>6</v>
      </c>
      <c r="CG3" s="16" t="s">
        <v>7</v>
      </c>
      <c r="CH3" s="16" t="s">
        <v>8</v>
      </c>
      <c r="CI3" s="16" t="s">
        <v>9</v>
      </c>
      <c r="CJ3" s="16" t="s">
        <v>10</v>
      </c>
      <c r="CK3" s="16" t="s">
        <v>11</v>
      </c>
      <c r="CL3" s="1"/>
      <c r="CM3" s="18" t="s">
        <v>0</v>
      </c>
      <c r="CN3" s="18" t="s">
        <v>1</v>
      </c>
      <c r="CO3" s="18" t="s">
        <v>2</v>
      </c>
      <c r="CP3" s="18" t="s">
        <v>3</v>
      </c>
      <c r="CQ3" s="19" t="s">
        <v>4</v>
      </c>
      <c r="CR3" s="4"/>
      <c r="CS3" s="5"/>
      <c r="CT3" s="18" t="s">
        <v>5</v>
      </c>
      <c r="CU3" s="18" t="s">
        <v>6</v>
      </c>
      <c r="CV3" s="18" t="s">
        <v>7</v>
      </c>
      <c r="CW3" s="18" t="s">
        <v>8</v>
      </c>
      <c r="CX3" s="18" t="s">
        <v>9</v>
      </c>
      <c r="CY3" s="18" t="s">
        <v>10</v>
      </c>
      <c r="CZ3" s="18" t="s">
        <v>11</v>
      </c>
      <c r="DA3" s="20"/>
      <c r="DB3" s="1"/>
      <c r="DC3" s="1"/>
      <c r="DD3" s="1"/>
      <c r="DE3" s="1"/>
      <c r="DF3" s="1"/>
    </row>
    <row r="4">
      <c r="A4" s="21"/>
      <c r="B4" s="21"/>
      <c r="C4" s="21"/>
      <c r="D4" s="21"/>
      <c r="E4" s="22" t="s">
        <v>12</v>
      </c>
      <c r="F4" s="22" t="s">
        <v>13</v>
      </c>
      <c r="G4" s="22" t="s">
        <v>14</v>
      </c>
      <c r="H4" s="21"/>
      <c r="I4" s="21"/>
      <c r="J4" s="21"/>
      <c r="K4" s="21"/>
      <c r="L4" s="21"/>
      <c r="M4" s="21"/>
      <c r="N4" s="21"/>
      <c r="O4" s="1"/>
      <c r="P4" s="21"/>
      <c r="Q4" s="21"/>
      <c r="R4" s="21"/>
      <c r="S4" s="21"/>
      <c r="T4" s="23" t="s">
        <v>12</v>
      </c>
      <c r="U4" s="23" t="s">
        <v>13</v>
      </c>
      <c r="V4" s="23" t="s">
        <v>14</v>
      </c>
      <c r="W4" s="21"/>
      <c r="X4" s="21"/>
      <c r="Y4" s="21"/>
      <c r="Z4" s="21"/>
      <c r="AA4" s="21"/>
      <c r="AB4" s="21"/>
      <c r="AC4" s="21"/>
      <c r="AD4" s="1"/>
      <c r="AE4" s="24"/>
      <c r="AF4" s="24"/>
      <c r="AG4" s="24"/>
      <c r="AH4" s="24"/>
      <c r="AI4" s="25" t="s">
        <v>12</v>
      </c>
      <c r="AJ4" s="25" t="s">
        <v>13</v>
      </c>
      <c r="AK4" s="25" t="s">
        <v>14</v>
      </c>
      <c r="AL4" s="24"/>
      <c r="AM4" s="24"/>
      <c r="AN4" s="24"/>
      <c r="AO4" s="24"/>
      <c r="AP4" s="24"/>
      <c r="AQ4" s="24"/>
      <c r="AR4" s="24"/>
      <c r="AS4" s="1"/>
      <c r="AT4" s="21"/>
      <c r="AU4" s="21"/>
      <c r="AV4" s="21"/>
      <c r="AW4" s="21"/>
      <c r="AX4" s="26" t="s">
        <v>12</v>
      </c>
      <c r="AY4" s="26" t="s">
        <v>13</v>
      </c>
      <c r="AZ4" s="26" t="s">
        <v>14</v>
      </c>
      <c r="BA4" s="21"/>
      <c r="BB4" s="21"/>
      <c r="BC4" s="21"/>
      <c r="BD4" s="21"/>
      <c r="BE4" s="21"/>
      <c r="BF4" s="21"/>
      <c r="BG4" s="21"/>
      <c r="BH4" s="1"/>
      <c r="BI4" s="21"/>
      <c r="BJ4" s="21"/>
      <c r="BK4" s="21"/>
      <c r="BL4" s="21"/>
      <c r="BM4" s="27" t="s">
        <v>12</v>
      </c>
      <c r="BN4" s="27" t="s">
        <v>13</v>
      </c>
      <c r="BO4" s="27" t="s">
        <v>14</v>
      </c>
      <c r="BP4" s="21"/>
      <c r="BQ4" s="21"/>
      <c r="BR4" s="21"/>
      <c r="BS4" s="21"/>
      <c r="BT4" s="21"/>
      <c r="BU4" s="21"/>
      <c r="BV4" s="21"/>
      <c r="BW4" s="1"/>
      <c r="BX4" s="21"/>
      <c r="BY4" s="21"/>
      <c r="BZ4" s="21"/>
      <c r="CA4" s="21"/>
      <c r="CB4" s="28" t="s">
        <v>12</v>
      </c>
      <c r="CC4" s="28" t="s">
        <v>13</v>
      </c>
      <c r="CD4" s="28" t="s">
        <v>14</v>
      </c>
      <c r="CE4" s="21"/>
      <c r="CF4" s="21"/>
      <c r="CG4" s="21"/>
      <c r="CH4" s="21"/>
      <c r="CI4" s="21"/>
      <c r="CJ4" s="21"/>
      <c r="CK4" s="21"/>
      <c r="CL4" s="1"/>
      <c r="CM4" s="21"/>
      <c r="CN4" s="21"/>
      <c r="CO4" s="21"/>
      <c r="CP4" s="21"/>
      <c r="CQ4" s="29" t="s">
        <v>12</v>
      </c>
      <c r="CR4" s="29" t="s">
        <v>13</v>
      </c>
      <c r="CS4" s="29" t="s">
        <v>14</v>
      </c>
      <c r="CT4" s="21"/>
      <c r="CU4" s="21"/>
      <c r="CV4" s="21"/>
      <c r="CW4" s="21"/>
      <c r="CX4" s="21"/>
      <c r="CY4" s="21"/>
      <c r="CZ4" s="21"/>
      <c r="DA4" s="30"/>
      <c r="DB4" s="1"/>
      <c r="DC4" s="1"/>
      <c r="DD4" s="1"/>
      <c r="DE4" s="1"/>
      <c r="DF4" s="1"/>
    </row>
    <row r="5">
      <c r="A5" s="31" t="s">
        <v>15</v>
      </c>
      <c r="O5" s="1"/>
      <c r="P5" s="32" t="s">
        <v>16</v>
      </c>
      <c r="AD5" s="1"/>
      <c r="AE5" s="33" t="s">
        <v>17</v>
      </c>
      <c r="AS5" s="1"/>
      <c r="AT5" s="34" t="s">
        <v>18</v>
      </c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6"/>
      <c r="BH5" s="1"/>
      <c r="BI5" s="37" t="s">
        <v>19</v>
      </c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5"/>
      <c r="BW5" s="1"/>
      <c r="BX5" s="38" t="s">
        <v>20</v>
      </c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5"/>
      <c r="CL5" s="1"/>
      <c r="CM5" s="39" t="s">
        <v>21</v>
      </c>
      <c r="DA5" s="30"/>
      <c r="DB5" s="1"/>
      <c r="DC5" s="1"/>
      <c r="DD5" s="1"/>
      <c r="DE5" s="1"/>
      <c r="DF5" s="1"/>
    </row>
    <row r="6">
      <c r="A6" s="40"/>
      <c r="B6" s="40"/>
      <c r="C6" s="41" t="s">
        <v>22</v>
      </c>
      <c r="D6" s="41" t="s">
        <v>23</v>
      </c>
      <c r="E6" s="41" t="s">
        <v>24</v>
      </c>
      <c r="F6" s="41" t="s">
        <v>25</v>
      </c>
      <c r="G6" s="41" t="s">
        <v>24</v>
      </c>
      <c r="H6" s="41" t="s">
        <v>26</v>
      </c>
      <c r="I6" s="41">
        <v>610.1</v>
      </c>
      <c r="J6" s="41">
        <v>761.5</v>
      </c>
      <c r="K6" s="40">
        <f t="shared" ref="K6:K18" si="1">J6-I6</f>
        <v>151.4</v>
      </c>
      <c r="L6" s="41">
        <v>5.4</v>
      </c>
      <c r="M6" s="42">
        <f t="shared" ref="M6:M18" si="2">J6*100/I6-100</f>
        <v>24.815604</v>
      </c>
      <c r="N6" s="41">
        <v>1.0</v>
      </c>
      <c r="O6" s="1"/>
      <c r="P6" s="40"/>
      <c r="Q6" s="40"/>
      <c r="R6" s="41" t="s">
        <v>27</v>
      </c>
      <c r="S6" s="43" t="s">
        <v>28</v>
      </c>
      <c r="T6" s="41">
        <v>0.35</v>
      </c>
      <c r="U6" s="41">
        <v>0.5</v>
      </c>
      <c r="V6" s="41">
        <v>0.85</v>
      </c>
      <c r="W6" s="41" t="s">
        <v>26</v>
      </c>
      <c r="X6" s="41">
        <v>73.3</v>
      </c>
      <c r="Y6" s="41">
        <v>86.1</v>
      </c>
      <c r="Z6" s="40">
        <f t="shared" ref="Z6:Z9" si="3">Y6-X6</f>
        <v>12.8</v>
      </c>
      <c r="AA6" s="41">
        <v>1.2</v>
      </c>
      <c r="AB6" s="40">
        <f t="shared" ref="AB6:AB9" si="4">Y6*100/X6-100</f>
        <v>17.46248295</v>
      </c>
      <c r="AC6" s="41">
        <v>28.0</v>
      </c>
      <c r="AD6" s="1"/>
      <c r="AE6" s="41" t="s">
        <v>29</v>
      </c>
      <c r="AF6" s="40"/>
      <c r="AG6" s="41" t="s">
        <v>30</v>
      </c>
      <c r="AH6" s="41" t="s">
        <v>31</v>
      </c>
      <c r="AI6" s="41">
        <v>0.1</v>
      </c>
      <c r="AJ6" s="41">
        <v>0.3</v>
      </c>
      <c r="AK6" s="41">
        <v>0.4</v>
      </c>
      <c r="AL6" s="41" t="s">
        <v>32</v>
      </c>
      <c r="AM6" s="41">
        <v>91.2</v>
      </c>
      <c r="AN6" s="41">
        <v>94.4</v>
      </c>
      <c r="AO6" s="40">
        <f>AN6-AM6</f>
        <v>3.2</v>
      </c>
      <c r="AP6" s="41" t="s">
        <v>25</v>
      </c>
      <c r="AQ6" s="40">
        <f>AN6*100/AM6-100</f>
        <v>3.50877193</v>
      </c>
      <c r="AR6" s="41">
        <v>15.0</v>
      </c>
      <c r="AS6" s="1"/>
      <c r="AT6" s="44" t="s">
        <v>33</v>
      </c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6"/>
      <c r="BH6" s="1"/>
      <c r="BI6" s="40"/>
      <c r="BJ6" s="40"/>
      <c r="BK6" s="41" t="s">
        <v>34</v>
      </c>
      <c r="BL6" s="41" t="s">
        <v>35</v>
      </c>
      <c r="BM6" s="41">
        <v>0.65</v>
      </c>
      <c r="BN6" s="41" t="s">
        <v>25</v>
      </c>
      <c r="BO6" s="41">
        <v>0.65</v>
      </c>
      <c r="BP6" s="41" t="s">
        <v>32</v>
      </c>
      <c r="BQ6" s="41">
        <v>190.7</v>
      </c>
      <c r="BR6" s="41">
        <v>199.0</v>
      </c>
      <c r="BS6" s="40">
        <f t="shared" ref="BS6:BS14" si="5">BR6-BQ6</f>
        <v>8.3</v>
      </c>
      <c r="BT6" s="41">
        <v>0.9</v>
      </c>
      <c r="BU6" s="40">
        <f t="shared" ref="BU6:BU14" si="6">BR6*100/BQ6-100</f>
        <v>4.352385947</v>
      </c>
      <c r="BV6" s="41">
        <v>10.0</v>
      </c>
      <c r="BW6" s="1"/>
      <c r="BX6" s="40"/>
      <c r="BY6" s="40"/>
      <c r="BZ6" s="41" t="s">
        <v>36</v>
      </c>
      <c r="CA6" s="41" t="s">
        <v>37</v>
      </c>
      <c r="CB6" s="41">
        <v>0.2</v>
      </c>
      <c r="CC6" s="41">
        <v>0.55</v>
      </c>
      <c r="CD6" s="41">
        <v>0.75</v>
      </c>
      <c r="CE6" s="41" t="s">
        <v>32</v>
      </c>
      <c r="CF6" s="41">
        <v>73.4</v>
      </c>
      <c r="CG6" s="41">
        <v>83.2</v>
      </c>
      <c r="CH6" s="40">
        <f t="shared" ref="CH6:CH9" si="7">CG6-CF6</f>
        <v>9.8</v>
      </c>
      <c r="CI6" s="41" t="s">
        <v>38</v>
      </c>
      <c r="CJ6" s="40">
        <f t="shared" ref="CJ6:CJ9" si="8">CG6*100/CF6-100</f>
        <v>13.35149864</v>
      </c>
      <c r="CK6" s="41">
        <v>20.0</v>
      </c>
      <c r="CL6" s="1"/>
      <c r="CM6" s="40"/>
      <c r="CN6" s="40"/>
      <c r="CO6" s="41" t="s">
        <v>39</v>
      </c>
      <c r="CP6" s="41" t="s">
        <v>40</v>
      </c>
      <c r="CQ6" s="41">
        <v>0.35</v>
      </c>
      <c r="CR6" s="41" t="s">
        <v>25</v>
      </c>
      <c r="CS6" s="41">
        <v>0.35</v>
      </c>
      <c r="CT6" s="41" t="s">
        <v>26</v>
      </c>
      <c r="CU6" s="41">
        <v>101.3</v>
      </c>
      <c r="CV6" s="41">
        <v>107.6</v>
      </c>
      <c r="CW6" s="40">
        <f t="shared" ref="CW6:CW13" si="9">CV6-CU6</f>
        <v>6.3</v>
      </c>
      <c r="CX6" s="41">
        <v>0.7</v>
      </c>
      <c r="CY6" s="40">
        <f t="shared" ref="CY6:CY13" si="10">CV6*100/CU6-100</f>
        <v>6.219151037</v>
      </c>
      <c r="CZ6" s="41">
        <v>6.0</v>
      </c>
      <c r="DA6" s="30"/>
      <c r="DB6" s="1"/>
      <c r="DC6" s="1"/>
      <c r="DD6" s="1"/>
      <c r="DE6" s="1"/>
      <c r="DF6" s="1"/>
    </row>
    <row r="7">
      <c r="A7" s="40"/>
      <c r="B7" s="40"/>
      <c r="C7" s="41" t="s">
        <v>41</v>
      </c>
      <c r="D7" s="41" t="s">
        <v>23</v>
      </c>
      <c r="E7" s="41" t="s">
        <v>24</v>
      </c>
      <c r="F7" s="41" t="s">
        <v>25</v>
      </c>
      <c r="G7" s="41" t="s">
        <v>24</v>
      </c>
      <c r="H7" s="41" t="s">
        <v>26</v>
      </c>
      <c r="I7" s="41">
        <v>657.0</v>
      </c>
      <c r="J7" s="41">
        <v>700.5</v>
      </c>
      <c r="K7" s="40">
        <f t="shared" si="1"/>
        <v>43.5</v>
      </c>
      <c r="L7" s="41">
        <v>8.8</v>
      </c>
      <c r="M7" s="40">
        <f t="shared" si="2"/>
        <v>6.621004566</v>
      </c>
      <c r="N7" s="41">
        <v>1.0</v>
      </c>
      <c r="O7" s="1"/>
      <c r="P7" s="40"/>
      <c r="Q7" s="40"/>
      <c r="R7" s="41" t="s">
        <v>42</v>
      </c>
      <c r="S7" s="43" t="s">
        <v>43</v>
      </c>
      <c r="T7" s="41">
        <v>0.35</v>
      </c>
      <c r="U7" s="41">
        <v>0.5</v>
      </c>
      <c r="V7" s="41">
        <v>0.85</v>
      </c>
      <c r="W7" s="41" t="s">
        <v>26</v>
      </c>
      <c r="X7" s="41">
        <v>77.8</v>
      </c>
      <c r="Y7" s="41">
        <v>90.3</v>
      </c>
      <c r="Z7" s="40">
        <f t="shared" si="3"/>
        <v>12.5</v>
      </c>
      <c r="AA7" s="41">
        <v>2.35</v>
      </c>
      <c r="AB7" s="40">
        <f t="shared" si="4"/>
        <v>16.06683805</v>
      </c>
      <c r="AC7" s="41">
        <v>28.0</v>
      </c>
      <c r="AD7" s="1"/>
      <c r="AE7" s="47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1"/>
      <c r="AT7" s="48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6"/>
      <c r="BH7" s="1"/>
      <c r="BI7" s="40"/>
      <c r="BJ7" s="40"/>
      <c r="BK7" s="41" t="s">
        <v>44</v>
      </c>
      <c r="BL7" s="41" t="s">
        <v>35</v>
      </c>
      <c r="BM7" s="41">
        <v>0.65</v>
      </c>
      <c r="BN7" s="41" t="s">
        <v>25</v>
      </c>
      <c r="BO7" s="41">
        <v>0.65</v>
      </c>
      <c r="BP7" s="41" t="s">
        <v>26</v>
      </c>
      <c r="BQ7" s="41">
        <v>233.5</v>
      </c>
      <c r="BR7" s="41">
        <v>262.3</v>
      </c>
      <c r="BS7" s="40">
        <f t="shared" si="5"/>
        <v>28.8</v>
      </c>
      <c r="BT7" s="41">
        <v>1.85</v>
      </c>
      <c r="BU7" s="40">
        <f t="shared" si="6"/>
        <v>12.33404711</v>
      </c>
      <c r="BV7" s="41">
        <v>14.0</v>
      </c>
      <c r="BW7" s="1"/>
      <c r="BX7" s="40"/>
      <c r="BY7" s="40"/>
      <c r="BZ7" s="41" t="s">
        <v>45</v>
      </c>
      <c r="CA7" s="41" t="s">
        <v>37</v>
      </c>
      <c r="CB7" s="41">
        <v>0.2</v>
      </c>
      <c r="CC7" s="41">
        <v>0.55</v>
      </c>
      <c r="CD7" s="41">
        <v>0.75</v>
      </c>
      <c r="CE7" s="41" t="s">
        <v>32</v>
      </c>
      <c r="CF7" s="41">
        <v>68.3</v>
      </c>
      <c r="CG7" s="41">
        <v>73.5</v>
      </c>
      <c r="CH7" s="40">
        <f t="shared" si="7"/>
        <v>5.2</v>
      </c>
      <c r="CI7" s="41">
        <v>0.6</v>
      </c>
      <c r="CJ7" s="40">
        <f t="shared" si="8"/>
        <v>7.613469985</v>
      </c>
      <c r="CK7" s="41">
        <v>20.0</v>
      </c>
      <c r="CL7" s="1"/>
      <c r="CM7" s="40"/>
      <c r="CN7" s="40"/>
      <c r="CO7" s="41" t="s">
        <v>46</v>
      </c>
      <c r="CP7" s="41" t="s">
        <v>40</v>
      </c>
      <c r="CQ7" s="41">
        <v>0.35</v>
      </c>
      <c r="CR7" s="41" t="s">
        <v>25</v>
      </c>
      <c r="CS7" s="41">
        <v>0.35</v>
      </c>
      <c r="CT7" s="41" t="s">
        <v>26</v>
      </c>
      <c r="CU7" s="41">
        <v>164.2</v>
      </c>
      <c r="CV7" s="41">
        <v>178.6</v>
      </c>
      <c r="CW7" s="40">
        <f t="shared" si="9"/>
        <v>14.4</v>
      </c>
      <c r="CX7" s="41">
        <v>0.9</v>
      </c>
      <c r="CY7" s="40">
        <f t="shared" si="10"/>
        <v>8.769792935</v>
      </c>
      <c r="CZ7" s="41">
        <v>6.0</v>
      </c>
      <c r="DA7" s="30"/>
      <c r="DB7" s="1"/>
      <c r="DC7" s="1"/>
      <c r="DD7" s="1"/>
      <c r="DE7" s="1"/>
      <c r="DF7" s="1"/>
    </row>
    <row r="8">
      <c r="A8" s="40"/>
      <c r="B8" s="40"/>
      <c r="C8" s="41" t="s">
        <v>47</v>
      </c>
      <c r="D8" s="41" t="s">
        <v>23</v>
      </c>
      <c r="E8" s="41" t="s">
        <v>24</v>
      </c>
      <c r="F8" s="41" t="s">
        <v>25</v>
      </c>
      <c r="G8" s="41" t="s">
        <v>24</v>
      </c>
      <c r="H8" s="41" t="s">
        <v>26</v>
      </c>
      <c r="I8" s="41">
        <v>111.0</v>
      </c>
      <c r="J8" s="41">
        <v>116.9</v>
      </c>
      <c r="K8" s="40">
        <f t="shared" si="1"/>
        <v>5.9</v>
      </c>
      <c r="L8" s="41">
        <v>1.2</v>
      </c>
      <c r="M8" s="40">
        <f t="shared" si="2"/>
        <v>5.315315315</v>
      </c>
      <c r="N8" s="41">
        <v>2.0</v>
      </c>
      <c r="O8" s="1"/>
      <c r="P8" s="40"/>
      <c r="Q8" s="40"/>
      <c r="R8" s="41" t="s">
        <v>48</v>
      </c>
      <c r="S8" s="43" t="s">
        <v>43</v>
      </c>
      <c r="T8" s="41">
        <v>0.35</v>
      </c>
      <c r="U8" s="41">
        <v>0.5</v>
      </c>
      <c r="V8" s="41">
        <v>0.85</v>
      </c>
      <c r="W8" s="41" t="s">
        <v>26</v>
      </c>
      <c r="X8" s="41">
        <v>79.3</v>
      </c>
      <c r="Y8" s="41">
        <v>93.3</v>
      </c>
      <c r="Z8" s="40">
        <f t="shared" si="3"/>
        <v>14</v>
      </c>
      <c r="AA8" s="41">
        <v>1.15</v>
      </c>
      <c r="AB8" s="40">
        <f t="shared" si="4"/>
        <v>17.65447667</v>
      </c>
      <c r="AC8" s="41">
        <v>28.0</v>
      </c>
      <c r="AD8" s="1"/>
      <c r="AE8" s="49" t="s">
        <v>49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1"/>
      <c r="AT8" s="47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5"/>
      <c r="BH8" s="1"/>
      <c r="BI8" s="40"/>
      <c r="BJ8" s="40"/>
      <c r="BK8" s="41" t="s">
        <v>50</v>
      </c>
      <c r="BL8" s="41" t="s">
        <v>35</v>
      </c>
      <c r="BM8" s="41">
        <v>0.65</v>
      </c>
      <c r="BN8" s="41" t="s">
        <v>25</v>
      </c>
      <c r="BO8" s="41">
        <v>0.65</v>
      </c>
      <c r="BP8" s="41" t="s">
        <v>26</v>
      </c>
      <c r="BQ8" s="41">
        <v>236.9</v>
      </c>
      <c r="BR8" s="41">
        <v>254.7</v>
      </c>
      <c r="BS8" s="40">
        <f t="shared" si="5"/>
        <v>17.8</v>
      </c>
      <c r="BT8" s="41">
        <v>1.5</v>
      </c>
      <c r="BU8" s="40">
        <f t="shared" si="6"/>
        <v>7.513718869</v>
      </c>
      <c r="BV8" s="41">
        <v>14.0</v>
      </c>
      <c r="BW8" s="1"/>
      <c r="BX8" s="40"/>
      <c r="BY8" s="40"/>
      <c r="BZ8" s="41" t="s">
        <v>51</v>
      </c>
      <c r="CA8" s="41" t="s">
        <v>37</v>
      </c>
      <c r="CB8" s="41">
        <v>0.2</v>
      </c>
      <c r="CC8" s="41">
        <v>0.55</v>
      </c>
      <c r="CD8" s="41">
        <v>0.75</v>
      </c>
      <c r="CE8" s="41" t="s">
        <v>32</v>
      </c>
      <c r="CF8" s="41">
        <v>69.5</v>
      </c>
      <c r="CG8" s="41">
        <v>75.0</v>
      </c>
      <c r="CH8" s="40">
        <f t="shared" si="7"/>
        <v>5.5</v>
      </c>
      <c r="CI8" s="40"/>
      <c r="CJ8" s="40">
        <f t="shared" si="8"/>
        <v>7.913669065</v>
      </c>
      <c r="CK8" s="41">
        <v>20.0</v>
      </c>
      <c r="CL8" s="1"/>
      <c r="CM8" s="40"/>
      <c r="CN8" s="40"/>
      <c r="CO8" s="41" t="s">
        <v>52</v>
      </c>
      <c r="CP8" s="41" t="s">
        <v>40</v>
      </c>
      <c r="CQ8" s="41">
        <v>0.35</v>
      </c>
      <c r="CR8" s="41" t="s">
        <v>25</v>
      </c>
      <c r="CS8" s="41">
        <v>0.35</v>
      </c>
      <c r="CT8" s="41" t="s">
        <v>26</v>
      </c>
      <c r="CU8" s="41">
        <v>71.3</v>
      </c>
      <c r="CV8" s="41">
        <v>78.4</v>
      </c>
      <c r="CW8" s="40">
        <f t="shared" si="9"/>
        <v>7.1</v>
      </c>
      <c r="CX8" s="41">
        <v>0.8</v>
      </c>
      <c r="CY8" s="40">
        <f t="shared" si="10"/>
        <v>9.957924264</v>
      </c>
      <c r="CZ8" s="41">
        <v>6.0</v>
      </c>
      <c r="DA8" s="30"/>
      <c r="DB8" s="1"/>
      <c r="DC8" s="1"/>
      <c r="DD8" s="1"/>
      <c r="DE8" s="1"/>
      <c r="DF8" s="1"/>
    </row>
    <row r="9">
      <c r="A9" s="40"/>
      <c r="B9" s="40"/>
      <c r="C9" s="41" t="s">
        <v>53</v>
      </c>
      <c r="D9" s="41" t="s">
        <v>23</v>
      </c>
      <c r="E9" s="41" t="s">
        <v>24</v>
      </c>
      <c r="F9" s="41" t="s">
        <v>25</v>
      </c>
      <c r="G9" s="41" t="s">
        <v>24</v>
      </c>
      <c r="H9" s="41" t="s">
        <v>26</v>
      </c>
      <c r="I9" s="41">
        <v>193.0</v>
      </c>
      <c r="J9" s="41">
        <v>212.8</v>
      </c>
      <c r="K9" s="40">
        <f t="shared" si="1"/>
        <v>19.8</v>
      </c>
      <c r="L9" s="41">
        <v>2.0</v>
      </c>
      <c r="M9" s="40">
        <f t="shared" si="2"/>
        <v>10.25906736</v>
      </c>
      <c r="N9" s="41">
        <v>3.0</v>
      </c>
      <c r="O9" s="1"/>
      <c r="P9" s="40"/>
      <c r="Q9" s="40"/>
      <c r="R9" s="41" t="s">
        <v>54</v>
      </c>
      <c r="S9" s="43" t="s">
        <v>43</v>
      </c>
      <c r="T9" s="41">
        <v>0.35</v>
      </c>
      <c r="U9" s="41">
        <v>0.5</v>
      </c>
      <c r="V9" s="41">
        <v>0.85</v>
      </c>
      <c r="W9" s="41" t="s">
        <v>26</v>
      </c>
      <c r="X9" s="41">
        <v>61.7</v>
      </c>
      <c r="Y9" s="41">
        <v>70.7</v>
      </c>
      <c r="Z9" s="40">
        <f t="shared" si="3"/>
        <v>9</v>
      </c>
      <c r="AA9" s="41">
        <v>2.8</v>
      </c>
      <c r="AB9" s="40">
        <f t="shared" si="4"/>
        <v>14.58670989</v>
      </c>
      <c r="AC9" s="41">
        <v>28.0</v>
      </c>
      <c r="AD9" s="1"/>
      <c r="AE9" s="40"/>
      <c r="AF9" s="40"/>
      <c r="AG9" s="41" t="s">
        <v>55</v>
      </c>
      <c r="AH9" s="41" t="s">
        <v>31</v>
      </c>
      <c r="AI9" s="41">
        <v>0.1</v>
      </c>
      <c r="AJ9" s="41">
        <v>0.3</v>
      </c>
      <c r="AK9" s="41">
        <v>0.4</v>
      </c>
      <c r="AL9" s="41" t="s">
        <v>32</v>
      </c>
      <c r="AM9" s="41">
        <v>212.0</v>
      </c>
      <c r="AN9" s="41">
        <v>221.1</v>
      </c>
      <c r="AO9" s="40">
        <f t="shared" ref="AO9:AO17" si="11">AN9-AM9</f>
        <v>9.1</v>
      </c>
      <c r="AP9" s="41">
        <v>0.9</v>
      </c>
      <c r="AQ9" s="40">
        <f t="shared" ref="AQ9:AQ17" si="12">AN9*100/AM9-100</f>
        <v>4.29245283</v>
      </c>
      <c r="AR9" s="41">
        <v>37.0</v>
      </c>
      <c r="AS9" s="1"/>
      <c r="AT9" s="50" t="s">
        <v>56</v>
      </c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5"/>
      <c r="BH9" s="1"/>
      <c r="BI9" s="40"/>
      <c r="BJ9" s="40"/>
      <c r="BK9" s="41" t="s">
        <v>57</v>
      </c>
      <c r="BL9" s="41" t="s">
        <v>35</v>
      </c>
      <c r="BM9" s="41">
        <v>0.65</v>
      </c>
      <c r="BN9" s="41" t="s">
        <v>25</v>
      </c>
      <c r="BO9" s="41">
        <v>0.65</v>
      </c>
      <c r="BP9" s="41" t="s">
        <v>26</v>
      </c>
      <c r="BQ9" s="41">
        <v>99.95</v>
      </c>
      <c r="BR9" s="41">
        <v>108.8</v>
      </c>
      <c r="BS9" s="40">
        <f t="shared" si="5"/>
        <v>8.85</v>
      </c>
      <c r="BT9" s="41">
        <v>0.5</v>
      </c>
      <c r="BU9" s="40">
        <f t="shared" si="6"/>
        <v>8.854427214</v>
      </c>
      <c r="BV9" s="41">
        <v>14.0</v>
      </c>
      <c r="BW9" s="1"/>
      <c r="BX9" s="40"/>
      <c r="BY9" s="40"/>
      <c r="BZ9" s="41" t="s">
        <v>34</v>
      </c>
      <c r="CA9" s="41" t="s">
        <v>37</v>
      </c>
      <c r="CB9" s="41">
        <v>0.2</v>
      </c>
      <c r="CC9" s="41">
        <v>0.55</v>
      </c>
      <c r="CD9" s="41">
        <v>0.75</v>
      </c>
      <c r="CE9" s="41" t="s">
        <v>32</v>
      </c>
      <c r="CF9" s="41" t="s">
        <v>25</v>
      </c>
      <c r="CG9" s="41">
        <v>67.3</v>
      </c>
      <c r="CH9" s="40" t="str">
        <f t="shared" si="7"/>
        <v>#VALUE!</v>
      </c>
      <c r="CI9" s="41" t="s">
        <v>25</v>
      </c>
      <c r="CJ9" s="40" t="str">
        <f t="shared" si="8"/>
        <v>#VALUE!</v>
      </c>
      <c r="CK9" s="41">
        <v>13.0</v>
      </c>
      <c r="CL9" s="1"/>
      <c r="CM9" s="40"/>
      <c r="CN9" s="40"/>
      <c r="CO9" s="41" t="s">
        <v>58</v>
      </c>
      <c r="CP9" s="41" t="s">
        <v>40</v>
      </c>
      <c r="CQ9" s="41">
        <v>0.35</v>
      </c>
      <c r="CR9" s="41" t="s">
        <v>25</v>
      </c>
      <c r="CS9" s="41">
        <v>0.35</v>
      </c>
      <c r="CT9" s="41" t="s">
        <v>26</v>
      </c>
      <c r="CU9" s="41">
        <v>72.1</v>
      </c>
      <c r="CV9" s="41">
        <v>77.7</v>
      </c>
      <c r="CW9" s="40">
        <f t="shared" si="9"/>
        <v>5.6</v>
      </c>
      <c r="CX9" s="41" t="s">
        <v>25</v>
      </c>
      <c r="CY9" s="40">
        <f t="shared" si="10"/>
        <v>7.766990291</v>
      </c>
      <c r="CZ9" s="41">
        <v>6.0</v>
      </c>
      <c r="DA9" s="30"/>
      <c r="DB9" s="1"/>
      <c r="DC9" s="1"/>
      <c r="DD9" s="1"/>
      <c r="DE9" s="1"/>
      <c r="DF9" s="1"/>
    </row>
    <row r="10">
      <c r="A10" s="40"/>
      <c r="B10" s="40"/>
      <c r="C10" s="41" t="s">
        <v>59</v>
      </c>
      <c r="D10" s="41" t="s">
        <v>23</v>
      </c>
      <c r="E10" s="41" t="s">
        <v>24</v>
      </c>
      <c r="F10" s="41" t="s">
        <v>25</v>
      </c>
      <c r="G10" s="41" t="s">
        <v>24</v>
      </c>
      <c r="H10" s="41" t="s">
        <v>26</v>
      </c>
      <c r="I10" s="41">
        <v>297.0</v>
      </c>
      <c r="J10" s="41">
        <v>312.9</v>
      </c>
      <c r="K10" s="40">
        <f t="shared" si="1"/>
        <v>15.9</v>
      </c>
      <c r="L10" s="41">
        <v>2.95</v>
      </c>
      <c r="M10" s="40">
        <f t="shared" si="2"/>
        <v>5.353535354</v>
      </c>
      <c r="N10" s="41">
        <v>3.0</v>
      </c>
      <c r="O10" s="1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/>
      <c r="AD10" s="1"/>
      <c r="AE10" s="40"/>
      <c r="AF10" s="40"/>
      <c r="AG10" s="41" t="s">
        <v>60</v>
      </c>
      <c r="AH10" s="41" t="s">
        <v>31</v>
      </c>
      <c r="AI10" s="41">
        <v>0.1</v>
      </c>
      <c r="AJ10" s="41">
        <v>0.3</v>
      </c>
      <c r="AK10" s="41">
        <v>0.4</v>
      </c>
      <c r="AL10" s="41" t="s">
        <v>32</v>
      </c>
      <c r="AM10" s="41">
        <v>123.2</v>
      </c>
      <c r="AN10" s="41">
        <v>126.0</v>
      </c>
      <c r="AO10" s="40">
        <f t="shared" si="11"/>
        <v>2.8</v>
      </c>
      <c r="AP10" s="41">
        <v>2.8</v>
      </c>
      <c r="AQ10" s="40">
        <f t="shared" si="12"/>
        <v>2.272727273</v>
      </c>
      <c r="AR10" s="41">
        <v>37.0</v>
      </c>
      <c r="AS10" s="1"/>
      <c r="AT10" s="40"/>
      <c r="AU10" s="40"/>
      <c r="AV10" s="41" t="s">
        <v>61</v>
      </c>
      <c r="AW10" s="41" t="s">
        <v>62</v>
      </c>
      <c r="AX10" s="41">
        <v>0.3</v>
      </c>
      <c r="AY10" s="41" t="s">
        <v>25</v>
      </c>
      <c r="AZ10" s="41">
        <v>0.3</v>
      </c>
      <c r="BA10" s="41" t="s">
        <v>32</v>
      </c>
      <c r="BB10" s="41">
        <v>215.4</v>
      </c>
      <c r="BC10" s="41">
        <v>219.6</v>
      </c>
      <c r="BD10" s="40">
        <f t="shared" ref="BD10:BD15" si="13">BC10-BB10</f>
        <v>4.2</v>
      </c>
      <c r="BE10" s="41">
        <v>2.2</v>
      </c>
      <c r="BF10" s="40">
        <f t="shared" ref="BF10:BF15" si="14">BC10*100/BB10-100</f>
        <v>1.949860724</v>
      </c>
      <c r="BG10" s="41">
        <v>34.0</v>
      </c>
      <c r="BH10" s="1"/>
      <c r="BI10" s="40"/>
      <c r="BJ10" s="40"/>
      <c r="BK10" s="41" t="s">
        <v>63</v>
      </c>
      <c r="BL10" s="41" t="s">
        <v>35</v>
      </c>
      <c r="BM10" s="41">
        <v>0.65</v>
      </c>
      <c r="BN10" s="41" t="s">
        <v>25</v>
      </c>
      <c r="BO10" s="41">
        <v>0.65</v>
      </c>
      <c r="BP10" s="41" t="s">
        <v>26</v>
      </c>
      <c r="BQ10" s="41">
        <v>91.8</v>
      </c>
      <c r="BR10" s="41">
        <v>93.4</v>
      </c>
      <c r="BS10" s="40">
        <f t="shared" si="5"/>
        <v>1.6</v>
      </c>
      <c r="BT10" s="41">
        <v>0.5</v>
      </c>
      <c r="BU10" s="40">
        <f t="shared" si="6"/>
        <v>1.74291939</v>
      </c>
      <c r="BV10" s="41">
        <v>14.0</v>
      </c>
      <c r="BW10" s="1"/>
      <c r="CL10" s="1"/>
      <c r="CM10" s="40"/>
      <c r="CN10" s="40"/>
      <c r="CO10" s="41" t="s">
        <v>64</v>
      </c>
      <c r="CP10" s="41" t="s">
        <v>40</v>
      </c>
      <c r="CQ10" s="41">
        <v>0.35</v>
      </c>
      <c r="CR10" s="41" t="s">
        <v>25</v>
      </c>
      <c r="CS10" s="41">
        <v>0.35</v>
      </c>
      <c r="CT10" s="41" t="s">
        <v>26</v>
      </c>
      <c r="CU10" s="41">
        <v>140.7</v>
      </c>
      <c r="CV10" s="41">
        <v>158.7</v>
      </c>
      <c r="CW10" s="40">
        <f t="shared" si="9"/>
        <v>18</v>
      </c>
      <c r="CX10" s="41">
        <v>1.1</v>
      </c>
      <c r="CY10" s="40">
        <f t="shared" si="10"/>
        <v>12.79317697</v>
      </c>
      <c r="CZ10" s="41">
        <v>6.0</v>
      </c>
      <c r="DA10" s="30"/>
      <c r="DB10" s="1"/>
      <c r="DC10" s="1"/>
      <c r="DD10" s="1"/>
      <c r="DE10" s="1"/>
      <c r="DF10" s="1"/>
    </row>
    <row r="11">
      <c r="A11" s="40"/>
      <c r="B11" s="40"/>
      <c r="C11" s="41" t="s">
        <v>46</v>
      </c>
      <c r="D11" s="41" t="s">
        <v>23</v>
      </c>
      <c r="E11" s="41" t="s">
        <v>24</v>
      </c>
      <c r="F11" s="41" t="s">
        <v>25</v>
      </c>
      <c r="G11" s="41" t="s">
        <v>24</v>
      </c>
      <c r="H11" s="41" t="s">
        <v>26</v>
      </c>
      <c r="I11" s="41">
        <v>90.2</v>
      </c>
      <c r="J11" s="41">
        <v>101.5</v>
      </c>
      <c r="K11" s="40">
        <f t="shared" si="1"/>
        <v>11.3</v>
      </c>
      <c r="L11" s="41">
        <v>0.4</v>
      </c>
      <c r="M11" s="40">
        <f t="shared" si="2"/>
        <v>12.52771619</v>
      </c>
      <c r="N11" s="41">
        <v>4.0</v>
      </c>
      <c r="O11" s="1"/>
      <c r="P11" s="51" t="s">
        <v>65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1"/>
      <c r="AE11" s="40"/>
      <c r="AF11" s="40"/>
      <c r="AG11" s="41" t="s">
        <v>66</v>
      </c>
      <c r="AH11" s="41" t="s">
        <v>31</v>
      </c>
      <c r="AI11" s="41">
        <v>0.1</v>
      </c>
      <c r="AJ11" s="41">
        <v>0.3</v>
      </c>
      <c r="AK11" s="41">
        <v>0.4</v>
      </c>
      <c r="AL11" s="41" t="s">
        <v>32</v>
      </c>
      <c r="AM11" s="41">
        <v>14.3</v>
      </c>
      <c r="AN11" s="41">
        <v>14.5</v>
      </c>
      <c r="AO11" s="40">
        <f t="shared" si="11"/>
        <v>0.2</v>
      </c>
      <c r="AP11" s="41" t="s">
        <v>25</v>
      </c>
      <c r="AQ11" s="40">
        <f t="shared" si="12"/>
        <v>1.398601399</v>
      </c>
      <c r="AR11" s="41">
        <v>39.0</v>
      </c>
      <c r="AS11" s="1"/>
      <c r="AT11" s="40"/>
      <c r="AU11" s="40"/>
      <c r="AV11" s="41" t="s">
        <v>67</v>
      </c>
      <c r="AW11" s="41" t="s">
        <v>68</v>
      </c>
      <c r="AX11" s="41">
        <v>0.3</v>
      </c>
      <c r="AY11" s="41" t="s">
        <v>25</v>
      </c>
      <c r="AZ11" s="41">
        <v>0.3</v>
      </c>
      <c r="BA11" s="41" t="s">
        <v>32</v>
      </c>
      <c r="BB11" s="41">
        <v>248.2</v>
      </c>
      <c r="BC11" s="41">
        <v>265.6</v>
      </c>
      <c r="BD11" s="40">
        <f t="shared" si="13"/>
        <v>17.4</v>
      </c>
      <c r="BE11" s="41">
        <v>1.0</v>
      </c>
      <c r="BF11" s="40">
        <f t="shared" si="14"/>
        <v>7.010475423</v>
      </c>
      <c r="BG11" s="41">
        <v>34.0</v>
      </c>
      <c r="BH11" s="1"/>
      <c r="BI11" s="40"/>
      <c r="BJ11" s="40"/>
      <c r="BK11" s="41" t="s">
        <v>34</v>
      </c>
      <c r="BL11" s="41" t="s">
        <v>35</v>
      </c>
      <c r="BM11" s="41">
        <v>0.65</v>
      </c>
      <c r="BN11" s="41" t="s">
        <v>25</v>
      </c>
      <c r="BO11" s="41">
        <v>0.65</v>
      </c>
      <c r="BP11" s="41" t="s">
        <v>26</v>
      </c>
      <c r="BQ11" s="41">
        <v>32.8</v>
      </c>
      <c r="BR11" s="41">
        <v>36.1</v>
      </c>
      <c r="BS11" s="40">
        <f t="shared" si="5"/>
        <v>3.3</v>
      </c>
      <c r="BT11" s="41">
        <v>0.2</v>
      </c>
      <c r="BU11" s="40">
        <f t="shared" si="6"/>
        <v>10.06097561</v>
      </c>
      <c r="BV11" s="41">
        <v>25.0</v>
      </c>
      <c r="BW11" s="1"/>
      <c r="BX11" s="38" t="s">
        <v>69</v>
      </c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5"/>
      <c r="CL11" s="1"/>
      <c r="CM11" s="40"/>
      <c r="CN11" s="40"/>
      <c r="CO11" s="41" t="s">
        <v>70</v>
      </c>
      <c r="CP11" s="41" t="s">
        <v>71</v>
      </c>
      <c r="CQ11" s="41">
        <v>0.35</v>
      </c>
      <c r="CR11" s="41" t="s">
        <v>25</v>
      </c>
      <c r="CS11" s="41">
        <v>0.35</v>
      </c>
      <c r="CT11" s="41" t="s">
        <v>26</v>
      </c>
      <c r="CU11" s="41">
        <v>93.7</v>
      </c>
      <c r="CV11" s="41">
        <v>99.0</v>
      </c>
      <c r="CW11" s="40">
        <f t="shared" si="9"/>
        <v>5.3</v>
      </c>
      <c r="CX11" s="41">
        <v>0.5</v>
      </c>
      <c r="CY11" s="40">
        <f t="shared" si="10"/>
        <v>5.656350053</v>
      </c>
      <c r="CZ11" s="41">
        <v>6.0</v>
      </c>
      <c r="DA11" s="30"/>
      <c r="DB11" s="1"/>
      <c r="DC11" s="1"/>
      <c r="DD11" s="1"/>
      <c r="DE11" s="1"/>
      <c r="DF11" s="1"/>
    </row>
    <row r="12">
      <c r="A12" s="40"/>
      <c r="B12" s="40"/>
      <c r="C12" s="41" t="s">
        <v>50</v>
      </c>
      <c r="D12" s="41" t="s">
        <v>23</v>
      </c>
      <c r="E12" s="41" t="s">
        <v>24</v>
      </c>
      <c r="F12" s="41" t="s">
        <v>25</v>
      </c>
      <c r="G12" s="41" t="s">
        <v>24</v>
      </c>
      <c r="H12" s="41" t="s">
        <v>26</v>
      </c>
      <c r="I12" s="41">
        <v>92.5</v>
      </c>
      <c r="J12" s="41">
        <v>103.3</v>
      </c>
      <c r="K12" s="40">
        <f t="shared" si="1"/>
        <v>10.8</v>
      </c>
      <c r="L12" s="41">
        <v>0.7</v>
      </c>
      <c r="M12" s="40">
        <f t="shared" si="2"/>
        <v>11.67567568</v>
      </c>
      <c r="N12" s="41">
        <v>4.0</v>
      </c>
      <c r="O12" s="1"/>
      <c r="P12" s="40"/>
      <c r="Q12" s="40"/>
      <c r="R12" s="41" t="s">
        <v>72</v>
      </c>
      <c r="S12" s="43" t="s">
        <v>43</v>
      </c>
      <c r="T12" s="41">
        <v>0.35</v>
      </c>
      <c r="U12" s="41">
        <v>0.5</v>
      </c>
      <c r="V12" s="41">
        <v>0.85</v>
      </c>
      <c r="W12" s="41" t="s">
        <v>26</v>
      </c>
      <c r="X12" s="41">
        <v>158.0</v>
      </c>
      <c r="Y12" s="41">
        <v>222.7</v>
      </c>
      <c r="Z12" s="40">
        <f t="shared" ref="Z12:Z17" si="15">Y12-X12</f>
        <v>64.7</v>
      </c>
      <c r="AA12" s="41">
        <v>1.6</v>
      </c>
      <c r="AB12" s="42">
        <f t="shared" ref="AB12:AB17" si="16">Y12*100/X12-100</f>
        <v>40.94936709</v>
      </c>
      <c r="AC12" s="41">
        <v>30.0</v>
      </c>
      <c r="AD12" s="1"/>
      <c r="AE12" s="40"/>
      <c r="AF12" s="40"/>
      <c r="AG12" s="41" t="s">
        <v>73</v>
      </c>
      <c r="AH12" s="41" t="s">
        <v>31</v>
      </c>
      <c r="AI12" s="41">
        <v>0.1</v>
      </c>
      <c r="AJ12" s="41">
        <v>0.3</v>
      </c>
      <c r="AK12" s="41">
        <v>0.4</v>
      </c>
      <c r="AL12" s="41" t="s">
        <v>32</v>
      </c>
      <c r="AM12" s="41">
        <v>164.5</v>
      </c>
      <c r="AN12" s="41">
        <v>171.1</v>
      </c>
      <c r="AO12" s="40">
        <f t="shared" si="11"/>
        <v>6.6</v>
      </c>
      <c r="AP12" s="41">
        <v>7.3</v>
      </c>
      <c r="AQ12" s="40">
        <f t="shared" si="12"/>
        <v>4.012158055</v>
      </c>
      <c r="AR12" s="41">
        <v>49.0</v>
      </c>
      <c r="AS12" s="1"/>
      <c r="AT12" s="40"/>
      <c r="AU12" s="40"/>
      <c r="AV12" s="41" t="s">
        <v>74</v>
      </c>
      <c r="AW12" s="41" t="s">
        <v>75</v>
      </c>
      <c r="AX12" s="41">
        <v>0.5</v>
      </c>
      <c r="AY12" s="41" t="s">
        <v>25</v>
      </c>
      <c r="AZ12" s="41">
        <v>0.5</v>
      </c>
      <c r="BA12" s="41" t="s">
        <v>32</v>
      </c>
      <c r="BB12" s="41">
        <v>44.0</v>
      </c>
      <c r="BC12" s="41">
        <v>45.3</v>
      </c>
      <c r="BD12" s="40">
        <f t="shared" si="13"/>
        <v>1.3</v>
      </c>
      <c r="BE12" s="41">
        <v>0.7</v>
      </c>
      <c r="BF12" s="40">
        <f t="shared" si="14"/>
        <v>2.954545455</v>
      </c>
      <c r="BG12" s="41">
        <v>38.0</v>
      </c>
      <c r="BH12" s="1"/>
      <c r="BI12" s="40"/>
      <c r="BJ12" s="40"/>
      <c r="BK12" s="41" t="s">
        <v>76</v>
      </c>
      <c r="BL12" s="41" t="s">
        <v>35</v>
      </c>
      <c r="BM12" s="41">
        <v>0.65</v>
      </c>
      <c r="BN12" s="41" t="s">
        <v>25</v>
      </c>
      <c r="BO12" s="41">
        <v>0.65</v>
      </c>
      <c r="BP12" s="41" t="s">
        <v>26</v>
      </c>
      <c r="BQ12" s="41">
        <v>54.6</v>
      </c>
      <c r="BR12" s="41">
        <v>57.1</v>
      </c>
      <c r="BS12" s="40">
        <f t="shared" si="5"/>
        <v>2.5</v>
      </c>
      <c r="BT12" s="41">
        <v>0.5</v>
      </c>
      <c r="BU12" s="40">
        <f t="shared" si="6"/>
        <v>4.578754579</v>
      </c>
      <c r="BV12" s="41">
        <v>25.0</v>
      </c>
      <c r="BW12" s="1"/>
      <c r="BX12" s="40"/>
      <c r="BY12" s="40"/>
      <c r="BZ12" s="41" t="s">
        <v>34</v>
      </c>
      <c r="CA12" s="41" t="s">
        <v>37</v>
      </c>
      <c r="CB12" s="41">
        <v>0.2</v>
      </c>
      <c r="CC12" s="41">
        <v>0.55</v>
      </c>
      <c r="CD12" s="41">
        <v>0.75</v>
      </c>
      <c r="CE12" s="41" t="s">
        <v>32</v>
      </c>
      <c r="CF12" s="41">
        <v>65.8</v>
      </c>
      <c r="CG12" s="41">
        <v>70.7</v>
      </c>
      <c r="CH12" s="40">
        <f t="shared" ref="CH12:CH15" si="17">CG12-CF12</f>
        <v>4.9</v>
      </c>
      <c r="CI12" s="41">
        <v>2.55</v>
      </c>
      <c r="CJ12" s="40">
        <f t="shared" ref="CJ12:CJ15" si="18">CG12*100/CF12-100</f>
        <v>7.446808511</v>
      </c>
      <c r="CK12" s="41">
        <v>31.0</v>
      </c>
      <c r="CL12" s="1"/>
      <c r="CM12" s="40"/>
      <c r="CN12" s="40"/>
      <c r="CO12" s="41" t="s">
        <v>77</v>
      </c>
      <c r="CP12" s="41" t="s">
        <v>40</v>
      </c>
      <c r="CQ12" s="41">
        <v>0.35</v>
      </c>
      <c r="CR12" s="41" t="s">
        <v>25</v>
      </c>
      <c r="CS12" s="41">
        <v>0.35</v>
      </c>
      <c r="CT12" s="41" t="s">
        <v>26</v>
      </c>
      <c r="CU12" s="41">
        <v>25.5</v>
      </c>
      <c r="CV12" s="41">
        <v>29.3</v>
      </c>
      <c r="CW12" s="40">
        <f t="shared" si="9"/>
        <v>3.8</v>
      </c>
      <c r="CX12" s="41">
        <v>0.9</v>
      </c>
      <c r="CY12" s="40">
        <f t="shared" si="10"/>
        <v>14.90196078</v>
      </c>
      <c r="CZ12" s="41">
        <v>6.0</v>
      </c>
      <c r="DA12" s="30"/>
      <c r="DB12" s="1"/>
      <c r="DC12" s="1"/>
      <c r="DD12" s="1"/>
      <c r="DE12" s="1"/>
      <c r="DF12" s="1"/>
    </row>
    <row r="13">
      <c r="A13" s="40"/>
      <c r="B13" s="40"/>
      <c r="C13" s="41" t="s">
        <v>78</v>
      </c>
      <c r="D13" s="41" t="s">
        <v>23</v>
      </c>
      <c r="E13" s="41" t="s">
        <v>24</v>
      </c>
      <c r="F13" s="41" t="s">
        <v>25</v>
      </c>
      <c r="G13" s="41" t="s">
        <v>24</v>
      </c>
      <c r="H13" s="41" t="s">
        <v>26</v>
      </c>
      <c r="I13" s="41">
        <v>308.6</v>
      </c>
      <c r="J13" s="41">
        <v>332.7</v>
      </c>
      <c r="K13" s="40">
        <f t="shared" si="1"/>
        <v>24.1</v>
      </c>
      <c r="L13" s="41">
        <v>3.0</v>
      </c>
      <c r="M13" s="40">
        <f t="shared" si="2"/>
        <v>7.809462087</v>
      </c>
      <c r="N13" s="41">
        <v>4.0</v>
      </c>
      <c r="O13" s="1"/>
      <c r="P13" s="40"/>
      <c r="Q13" s="40"/>
      <c r="R13" s="41" t="s">
        <v>79</v>
      </c>
      <c r="S13" s="43" t="s">
        <v>43</v>
      </c>
      <c r="T13" s="41">
        <v>0.35</v>
      </c>
      <c r="U13" s="41">
        <v>0.5</v>
      </c>
      <c r="V13" s="41">
        <v>0.85</v>
      </c>
      <c r="W13" s="41" t="s">
        <v>26</v>
      </c>
      <c r="X13" s="41">
        <v>356.9</v>
      </c>
      <c r="Y13" s="41">
        <v>424.4</v>
      </c>
      <c r="Z13" s="40">
        <f t="shared" si="15"/>
        <v>67.5</v>
      </c>
      <c r="AA13" s="41">
        <v>4.8</v>
      </c>
      <c r="AB13" s="40">
        <f t="shared" si="16"/>
        <v>18.91286075</v>
      </c>
      <c r="AC13" s="41">
        <v>42.0</v>
      </c>
      <c r="AD13" s="1"/>
      <c r="AE13" s="40"/>
      <c r="AF13" s="40"/>
      <c r="AG13" s="41" t="s">
        <v>80</v>
      </c>
      <c r="AH13" s="41" t="s">
        <v>81</v>
      </c>
      <c r="AI13" s="41">
        <v>0.1</v>
      </c>
      <c r="AJ13" s="41">
        <v>0.3</v>
      </c>
      <c r="AK13" s="41">
        <v>0.4</v>
      </c>
      <c r="AL13" s="41" t="s">
        <v>32</v>
      </c>
      <c r="AM13" s="41">
        <v>80.7</v>
      </c>
      <c r="AN13" s="41">
        <v>84.2</v>
      </c>
      <c r="AO13" s="40">
        <f t="shared" si="11"/>
        <v>3.5</v>
      </c>
      <c r="AP13" s="41">
        <v>3.1</v>
      </c>
      <c r="AQ13" s="40">
        <f t="shared" si="12"/>
        <v>4.337050805</v>
      </c>
      <c r="AR13" s="41">
        <v>50.0</v>
      </c>
      <c r="AS13" s="1"/>
      <c r="AT13" s="40"/>
      <c r="AU13" s="40"/>
      <c r="AV13" s="41" t="s">
        <v>82</v>
      </c>
      <c r="AW13" s="41" t="s">
        <v>68</v>
      </c>
      <c r="AX13" s="41">
        <v>0.35</v>
      </c>
      <c r="AY13" s="41" t="s">
        <v>25</v>
      </c>
      <c r="AZ13" s="41">
        <v>0.35</v>
      </c>
      <c r="BA13" s="41" t="s">
        <v>32</v>
      </c>
      <c r="BB13" s="41">
        <v>36.7</v>
      </c>
      <c r="BC13" s="41">
        <v>37.7</v>
      </c>
      <c r="BD13" s="40">
        <f t="shared" si="13"/>
        <v>1</v>
      </c>
      <c r="BE13" s="41">
        <v>0.5</v>
      </c>
      <c r="BF13" s="40">
        <f t="shared" si="14"/>
        <v>2.72479564</v>
      </c>
      <c r="BG13" s="41">
        <v>43.0</v>
      </c>
      <c r="BH13" s="1"/>
      <c r="BI13" s="40"/>
      <c r="BJ13" s="40"/>
      <c r="BK13" s="41" t="s">
        <v>83</v>
      </c>
      <c r="BL13" s="41" t="s">
        <v>35</v>
      </c>
      <c r="BM13" s="41">
        <v>0.65</v>
      </c>
      <c r="BN13" s="41" t="s">
        <v>25</v>
      </c>
      <c r="BO13" s="41">
        <v>0.65</v>
      </c>
      <c r="BP13" s="41" t="s">
        <v>32</v>
      </c>
      <c r="BQ13" s="41">
        <v>70.1</v>
      </c>
      <c r="BR13" s="41">
        <v>75.2</v>
      </c>
      <c r="BS13" s="40">
        <f t="shared" si="5"/>
        <v>5.1</v>
      </c>
      <c r="BT13" s="41">
        <v>1.9</v>
      </c>
      <c r="BU13" s="40">
        <f t="shared" si="6"/>
        <v>7.27532097</v>
      </c>
      <c r="BV13" s="41">
        <v>25.0</v>
      </c>
      <c r="BW13" s="1"/>
      <c r="BX13" s="40"/>
      <c r="BY13" s="40"/>
      <c r="BZ13" s="41" t="s">
        <v>45</v>
      </c>
      <c r="CA13" s="41" t="s">
        <v>37</v>
      </c>
      <c r="CB13" s="41">
        <v>0.2</v>
      </c>
      <c r="CC13" s="41">
        <v>0.55</v>
      </c>
      <c r="CD13" s="41">
        <v>0.75</v>
      </c>
      <c r="CE13" s="41" t="s">
        <v>32</v>
      </c>
      <c r="CF13" s="41">
        <v>69.5</v>
      </c>
      <c r="CG13" s="41">
        <v>74.2</v>
      </c>
      <c r="CH13" s="40">
        <f t="shared" si="17"/>
        <v>4.7</v>
      </c>
      <c r="CI13" s="41">
        <v>0.9</v>
      </c>
      <c r="CJ13" s="40">
        <f t="shared" si="18"/>
        <v>6.762589928</v>
      </c>
      <c r="CK13" s="41">
        <v>31.0</v>
      </c>
      <c r="CL13" s="1"/>
      <c r="CM13" s="40"/>
      <c r="CN13" s="40"/>
      <c r="CO13" s="41" t="s">
        <v>84</v>
      </c>
      <c r="CP13" s="41" t="s">
        <v>85</v>
      </c>
      <c r="CQ13" s="41">
        <v>50.0</v>
      </c>
      <c r="CR13" s="41" t="s">
        <v>25</v>
      </c>
      <c r="CS13" s="41">
        <v>50.0</v>
      </c>
      <c r="CT13" s="41" t="s">
        <v>26</v>
      </c>
      <c r="CU13" s="41">
        <v>302.4</v>
      </c>
      <c r="CV13" s="41">
        <v>339.4</v>
      </c>
      <c r="CW13" s="40">
        <f t="shared" si="9"/>
        <v>37</v>
      </c>
      <c r="CX13" s="41">
        <v>2.7</v>
      </c>
      <c r="CY13" s="40">
        <f t="shared" si="10"/>
        <v>12.23544974</v>
      </c>
      <c r="CZ13" s="41">
        <v>16.0</v>
      </c>
      <c r="DA13" s="30"/>
      <c r="DB13" s="1"/>
      <c r="DC13" s="1"/>
      <c r="DD13" s="1"/>
      <c r="DE13" s="1"/>
      <c r="DF13" s="1"/>
    </row>
    <row r="14">
      <c r="A14" s="40"/>
      <c r="B14" s="40"/>
      <c r="C14" s="41" t="s">
        <v>86</v>
      </c>
      <c r="D14" s="41" t="s">
        <v>23</v>
      </c>
      <c r="E14" s="41" t="s">
        <v>24</v>
      </c>
      <c r="F14" s="41" t="s">
        <v>25</v>
      </c>
      <c r="G14" s="41" t="s">
        <v>24</v>
      </c>
      <c r="H14" s="41" t="s">
        <v>26</v>
      </c>
      <c r="I14" s="41">
        <v>1836.0</v>
      </c>
      <c r="J14" s="41">
        <v>1971.2</v>
      </c>
      <c r="K14" s="40">
        <f t="shared" si="1"/>
        <v>135.2</v>
      </c>
      <c r="L14" s="41">
        <v>10.4</v>
      </c>
      <c r="M14" s="40">
        <f t="shared" si="2"/>
        <v>7.363834423</v>
      </c>
      <c r="N14" s="41">
        <v>9.0</v>
      </c>
      <c r="O14" s="1"/>
      <c r="P14" s="41"/>
      <c r="Q14" s="40"/>
      <c r="R14" s="41" t="s">
        <v>87</v>
      </c>
      <c r="S14" s="52" t="s">
        <v>88</v>
      </c>
      <c r="T14" s="41" t="s">
        <v>89</v>
      </c>
      <c r="U14" s="41">
        <v>0.55</v>
      </c>
      <c r="V14" s="41" t="s">
        <v>90</v>
      </c>
      <c r="W14" s="41" t="s">
        <v>26</v>
      </c>
      <c r="X14" s="41">
        <v>88.5</v>
      </c>
      <c r="Y14" s="41">
        <v>142.3</v>
      </c>
      <c r="Z14" s="40">
        <f t="shared" si="15"/>
        <v>53.8</v>
      </c>
      <c r="AA14" s="41">
        <v>1.1</v>
      </c>
      <c r="AB14" s="53">
        <f t="shared" si="16"/>
        <v>60.79096045</v>
      </c>
      <c r="AC14" s="41">
        <v>71.0</v>
      </c>
      <c r="AD14" s="1"/>
      <c r="AE14" s="40"/>
      <c r="AF14" s="40"/>
      <c r="AG14" s="41" t="s">
        <v>91</v>
      </c>
      <c r="AH14" s="41" t="s">
        <v>31</v>
      </c>
      <c r="AI14" s="41">
        <v>0.1</v>
      </c>
      <c r="AJ14" s="41">
        <v>0.3</v>
      </c>
      <c r="AK14" s="41">
        <v>0.4</v>
      </c>
      <c r="AL14" s="41" t="s">
        <v>32</v>
      </c>
      <c r="AM14" s="41">
        <v>272.0</v>
      </c>
      <c r="AN14" s="41">
        <v>280.3</v>
      </c>
      <c r="AO14" s="40">
        <f t="shared" si="11"/>
        <v>8.3</v>
      </c>
      <c r="AP14" s="41">
        <v>1.5</v>
      </c>
      <c r="AQ14" s="40">
        <f t="shared" si="12"/>
        <v>3.051470588</v>
      </c>
      <c r="AR14" s="41">
        <v>62.0</v>
      </c>
      <c r="AS14" s="1"/>
      <c r="AT14" s="40"/>
      <c r="AU14" s="40"/>
      <c r="AV14" s="41" t="s">
        <v>92</v>
      </c>
      <c r="AW14" s="41" t="s">
        <v>68</v>
      </c>
      <c r="AX14" s="41">
        <v>0.4</v>
      </c>
      <c r="AY14" s="41" t="s">
        <v>25</v>
      </c>
      <c r="AZ14" s="41">
        <v>0.4</v>
      </c>
      <c r="BA14" s="41" t="s">
        <v>32</v>
      </c>
      <c r="BB14" s="41">
        <v>41.7</v>
      </c>
      <c r="BC14" s="41">
        <v>43.0</v>
      </c>
      <c r="BD14" s="40">
        <f t="shared" si="13"/>
        <v>1.3</v>
      </c>
      <c r="BE14" s="41">
        <v>0.5</v>
      </c>
      <c r="BF14" s="40">
        <f t="shared" si="14"/>
        <v>3.117505995</v>
      </c>
      <c r="BG14" s="41">
        <v>54.0</v>
      </c>
      <c r="BH14" s="1"/>
      <c r="BI14" s="40"/>
      <c r="BJ14" s="40"/>
      <c r="BK14" s="41" t="s">
        <v>93</v>
      </c>
      <c r="BL14" s="41" t="s">
        <v>35</v>
      </c>
      <c r="BM14" s="41">
        <v>0.65</v>
      </c>
      <c r="BN14" s="41" t="s">
        <v>25</v>
      </c>
      <c r="BO14" s="41">
        <v>0.65</v>
      </c>
      <c r="BP14" s="41" t="s">
        <v>32</v>
      </c>
      <c r="BQ14" s="41">
        <v>67.3</v>
      </c>
      <c r="BR14" s="41">
        <v>72.9</v>
      </c>
      <c r="BS14" s="40">
        <f t="shared" si="5"/>
        <v>5.6</v>
      </c>
      <c r="BT14" s="41">
        <v>0.5</v>
      </c>
      <c r="BU14" s="40">
        <f t="shared" si="6"/>
        <v>8.320950966</v>
      </c>
      <c r="BV14" s="41">
        <v>25.0</v>
      </c>
      <c r="BW14" s="1"/>
      <c r="BX14" s="40"/>
      <c r="BY14" s="40"/>
      <c r="BZ14" s="41" t="s">
        <v>36</v>
      </c>
      <c r="CA14" s="41" t="s">
        <v>37</v>
      </c>
      <c r="CB14" s="41">
        <v>0.2</v>
      </c>
      <c r="CC14" s="41">
        <v>0.55</v>
      </c>
      <c r="CD14" s="41">
        <v>0.75</v>
      </c>
      <c r="CE14" s="41" t="s">
        <v>32</v>
      </c>
      <c r="CF14" s="41">
        <v>55.4</v>
      </c>
      <c r="CG14" s="41">
        <v>60.2</v>
      </c>
      <c r="CH14" s="40">
        <f t="shared" si="17"/>
        <v>4.8</v>
      </c>
      <c r="CI14" s="41">
        <v>2.8</v>
      </c>
      <c r="CJ14" s="40">
        <f t="shared" si="18"/>
        <v>8.664259928</v>
      </c>
      <c r="CK14" s="41">
        <v>31.0</v>
      </c>
      <c r="CL14" s="1"/>
      <c r="CM14" s="54" t="s">
        <v>94</v>
      </c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5"/>
      <c r="DA14" s="30"/>
      <c r="DB14" s="1"/>
      <c r="DC14" s="1"/>
      <c r="DD14" s="1"/>
      <c r="DE14" s="1"/>
      <c r="DF14" s="1"/>
    </row>
    <row r="15">
      <c r="A15" s="40"/>
      <c r="B15" s="40"/>
      <c r="C15" s="41" t="s">
        <v>54</v>
      </c>
      <c r="D15" s="41" t="s">
        <v>23</v>
      </c>
      <c r="E15" s="41" t="s">
        <v>24</v>
      </c>
      <c r="F15" s="41" t="s">
        <v>25</v>
      </c>
      <c r="G15" s="41" t="s">
        <v>24</v>
      </c>
      <c r="H15" s="41" t="s">
        <v>32</v>
      </c>
      <c r="I15" s="41">
        <v>66.7</v>
      </c>
      <c r="J15" s="41">
        <v>70.4</v>
      </c>
      <c r="K15" s="40">
        <f t="shared" si="1"/>
        <v>3.7</v>
      </c>
      <c r="L15" s="41">
        <v>0.35</v>
      </c>
      <c r="M15" s="40">
        <f t="shared" si="2"/>
        <v>5.547226387</v>
      </c>
      <c r="N15" s="41">
        <v>12.0</v>
      </c>
      <c r="O15" s="1"/>
      <c r="P15" s="41"/>
      <c r="Q15" s="40"/>
      <c r="R15" s="41" t="s">
        <v>95</v>
      </c>
      <c r="S15" s="52" t="s">
        <v>96</v>
      </c>
      <c r="T15" s="41" t="s">
        <v>89</v>
      </c>
      <c r="U15" s="41">
        <v>0.55</v>
      </c>
      <c r="V15" s="41" t="s">
        <v>90</v>
      </c>
      <c r="W15" s="41" t="s">
        <v>26</v>
      </c>
      <c r="X15" s="41">
        <v>392.6</v>
      </c>
      <c r="Y15" s="41">
        <v>450.4</v>
      </c>
      <c r="Z15" s="40">
        <f t="shared" si="15"/>
        <v>57.8</v>
      </c>
      <c r="AA15" s="41">
        <v>3.85</v>
      </c>
      <c r="AB15" s="40">
        <f t="shared" si="16"/>
        <v>14.72236373</v>
      </c>
      <c r="AC15" s="41">
        <v>71.0</v>
      </c>
      <c r="AD15" s="1"/>
      <c r="AE15" s="40"/>
      <c r="AF15" s="40"/>
      <c r="AG15" s="41" t="s">
        <v>97</v>
      </c>
      <c r="AH15" s="41" t="s">
        <v>31</v>
      </c>
      <c r="AI15" s="41">
        <v>0.1</v>
      </c>
      <c r="AJ15" s="41">
        <v>0.3</v>
      </c>
      <c r="AK15" s="41">
        <v>0.4</v>
      </c>
      <c r="AL15" s="41" t="s">
        <v>32</v>
      </c>
      <c r="AM15" s="41">
        <v>155.4</v>
      </c>
      <c r="AN15" s="41">
        <v>156.7</v>
      </c>
      <c r="AO15" s="40">
        <f t="shared" si="11"/>
        <v>1.3</v>
      </c>
      <c r="AP15" s="41">
        <v>1.5</v>
      </c>
      <c r="AQ15" s="40">
        <f t="shared" si="12"/>
        <v>0.8365508366</v>
      </c>
      <c r="AR15" s="41">
        <v>67.0</v>
      </c>
      <c r="AS15" s="1"/>
      <c r="AT15" s="40"/>
      <c r="AU15" s="40"/>
      <c r="AV15" s="41" t="s">
        <v>54</v>
      </c>
      <c r="AW15" s="41" t="s">
        <v>75</v>
      </c>
      <c r="AX15" s="41">
        <v>0.5</v>
      </c>
      <c r="AY15" s="41" t="s">
        <v>25</v>
      </c>
      <c r="AZ15" s="41">
        <v>0.5</v>
      </c>
      <c r="BA15" s="41" t="s">
        <v>32</v>
      </c>
      <c r="BB15" s="41">
        <v>45.8</v>
      </c>
      <c r="BC15" s="41">
        <v>46.9</v>
      </c>
      <c r="BD15" s="40">
        <f t="shared" si="13"/>
        <v>1.1</v>
      </c>
      <c r="BE15" s="41">
        <v>0.9</v>
      </c>
      <c r="BF15" s="40">
        <f t="shared" si="14"/>
        <v>2.401746725</v>
      </c>
      <c r="BG15" s="41">
        <v>65.0</v>
      </c>
      <c r="BH15" s="1"/>
      <c r="BI15" s="47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5"/>
      <c r="BW15" s="1"/>
      <c r="BX15" s="40"/>
      <c r="BY15" s="40"/>
      <c r="BZ15" s="41" t="s">
        <v>98</v>
      </c>
      <c r="CA15" s="41" t="s">
        <v>37</v>
      </c>
      <c r="CB15" s="41">
        <v>0.2</v>
      </c>
      <c r="CC15" s="41">
        <v>0.55</v>
      </c>
      <c r="CD15" s="41">
        <v>0.75</v>
      </c>
      <c r="CE15" s="41" t="s">
        <v>32</v>
      </c>
      <c r="CF15" s="41">
        <v>142.5</v>
      </c>
      <c r="CG15" s="41">
        <v>151.4</v>
      </c>
      <c r="CH15" s="40">
        <f t="shared" si="17"/>
        <v>8.9</v>
      </c>
      <c r="CI15" s="41">
        <v>1.95</v>
      </c>
      <c r="CJ15" s="40">
        <f t="shared" si="18"/>
        <v>6.245614035</v>
      </c>
      <c r="CK15" s="41">
        <v>31.0</v>
      </c>
      <c r="CL15" s="1"/>
      <c r="CM15" s="40"/>
      <c r="CN15" s="40"/>
      <c r="CO15" s="41" t="s">
        <v>39</v>
      </c>
      <c r="CP15" s="41" t="s">
        <v>40</v>
      </c>
      <c r="CQ15" s="41">
        <v>0.45</v>
      </c>
      <c r="CR15" s="41" t="s">
        <v>25</v>
      </c>
      <c r="CS15" s="41">
        <v>0.45</v>
      </c>
      <c r="CT15" s="41" t="s">
        <v>26</v>
      </c>
      <c r="CU15" s="41">
        <v>47.1</v>
      </c>
      <c r="CV15" s="41">
        <v>50.1</v>
      </c>
      <c r="CW15" s="40">
        <f t="shared" ref="CW15:CW28" si="19">CV15-CU15</f>
        <v>3</v>
      </c>
      <c r="CX15" s="41">
        <v>1.2</v>
      </c>
      <c r="CY15" s="40">
        <f t="shared" ref="CY15:CY28" si="20">CV15*100/CU15-100</f>
        <v>6.369426752</v>
      </c>
      <c r="CZ15" s="41">
        <v>36.0</v>
      </c>
      <c r="DA15" s="1"/>
      <c r="DB15" s="1"/>
      <c r="DC15" s="1"/>
      <c r="DD15" s="1"/>
      <c r="DE15" s="1"/>
      <c r="DF15" s="1"/>
    </row>
    <row r="16">
      <c r="A16" s="40"/>
      <c r="B16" s="40"/>
      <c r="C16" s="41" t="s">
        <v>41</v>
      </c>
      <c r="D16" s="41" t="s">
        <v>23</v>
      </c>
      <c r="E16" s="41" t="s">
        <v>24</v>
      </c>
      <c r="F16" s="41" t="s">
        <v>25</v>
      </c>
      <c r="G16" s="41" t="s">
        <v>24</v>
      </c>
      <c r="H16" s="41" t="s">
        <v>26</v>
      </c>
      <c r="I16" s="41">
        <v>901.3</v>
      </c>
      <c r="J16" s="41">
        <v>982.1</v>
      </c>
      <c r="K16" s="40">
        <f t="shared" si="1"/>
        <v>80.8</v>
      </c>
      <c r="L16" s="41">
        <v>7.8</v>
      </c>
      <c r="M16" s="40">
        <f t="shared" si="2"/>
        <v>8.964828581</v>
      </c>
      <c r="N16" s="41">
        <v>23.0</v>
      </c>
      <c r="O16" s="1"/>
      <c r="P16" s="41"/>
      <c r="Q16" s="40"/>
      <c r="R16" s="41" t="s">
        <v>99</v>
      </c>
      <c r="S16" s="52" t="s">
        <v>88</v>
      </c>
      <c r="T16" s="41" t="s">
        <v>89</v>
      </c>
      <c r="U16" s="41">
        <v>0.55</v>
      </c>
      <c r="V16" s="41" t="s">
        <v>90</v>
      </c>
      <c r="W16" s="41" t="s">
        <v>26</v>
      </c>
      <c r="X16" s="41">
        <v>92.2</v>
      </c>
      <c r="Y16" s="41">
        <v>118.0</v>
      </c>
      <c r="Z16" s="40">
        <f t="shared" si="15"/>
        <v>25.8</v>
      </c>
      <c r="AA16" s="41">
        <v>1.0</v>
      </c>
      <c r="AB16" s="40">
        <f t="shared" si="16"/>
        <v>27.98264642</v>
      </c>
      <c r="AC16" s="41">
        <v>71.0</v>
      </c>
      <c r="AD16" s="1"/>
      <c r="AE16" s="40"/>
      <c r="AF16" s="40"/>
      <c r="AG16" s="41" t="s">
        <v>100</v>
      </c>
      <c r="AH16" s="41" t="s">
        <v>31</v>
      </c>
      <c r="AI16" s="41">
        <v>0.1</v>
      </c>
      <c r="AJ16" s="41">
        <v>0.3</v>
      </c>
      <c r="AK16" s="41">
        <v>0.4</v>
      </c>
      <c r="AL16" s="41" t="s">
        <v>32</v>
      </c>
      <c r="AM16" s="41" t="s">
        <v>25</v>
      </c>
      <c r="AN16" s="41">
        <v>66.1</v>
      </c>
      <c r="AO16" s="40" t="str">
        <f t="shared" si="11"/>
        <v>#VALUE!</v>
      </c>
      <c r="AP16" s="41">
        <v>2.0</v>
      </c>
      <c r="AQ16" s="40" t="str">
        <f t="shared" si="12"/>
        <v>#VALUE!</v>
      </c>
      <c r="AR16" s="41">
        <v>68.0</v>
      </c>
      <c r="AS16" s="1"/>
      <c r="AT16" s="47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5"/>
      <c r="BH16" s="1"/>
      <c r="BI16" s="37" t="s">
        <v>101</v>
      </c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5"/>
      <c r="BW16" s="1"/>
      <c r="CL16" s="1"/>
      <c r="CM16" s="40"/>
      <c r="CN16" s="40"/>
      <c r="CO16" s="41" t="s">
        <v>46</v>
      </c>
      <c r="CP16" s="41" t="s">
        <v>40</v>
      </c>
      <c r="CQ16" s="41">
        <v>0.45</v>
      </c>
      <c r="CR16" s="41" t="s">
        <v>25</v>
      </c>
      <c r="CS16" s="41">
        <v>0.45</v>
      </c>
      <c r="CT16" s="41" t="s">
        <v>26</v>
      </c>
      <c r="CU16" s="41">
        <v>76.4</v>
      </c>
      <c r="CV16" s="41">
        <v>82.9</v>
      </c>
      <c r="CW16" s="40">
        <f t="shared" si="19"/>
        <v>6.5</v>
      </c>
      <c r="CX16" s="41">
        <v>0.8</v>
      </c>
      <c r="CY16" s="40">
        <f t="shared" si="20"/>
        <v>8.507853403</v>
      </c>
      <c r="CZ16" s="41">
        <v>36.0</v>
      </c>
      <c r="DA16" s="1"/>
      <c r="DB16" s="1"/>
      <c r="DC16" s="1"/>
      <c r="DD16" s="1"/>
      <c r="DE16" s="1"/>
      <c r="DF16" s="1"/>
    </row>
    <row r="17">
      <c r="A17" s="40"/>
      <c r="B17" s="40"/>
      <c r="C17" s="41" t="s">
        <v>39</v>
      </c>
      <c r="D17" s="41" t="s">
        <v>23</v>
      </c>
      <c r="E17" s="41" t="s">
        <v>24</v>
      </c>
      <c r="F17" s="41" t="s">
        <v>25</v>
      </c>
      <c r="G17" s="41" t="s">
        <v>24</v>
      </c>
      <c r="H17" s="41" t="s">
        <v>32</v>
      </c>
      <c r="I17" s="41">
        <v>98.6</v>
      </c>
      <c r="J17" s="41">
        <v>103.6</v>
      </c>
      <c r="K17" s="40">
        <f t="shared" si="1"/>
        <v>5</v>
      </c>
      <c r="L17" s="41">
        <v>1.2</v>
      </c>
      <c r="M17" s="40">
        <f t="shared" si="2"/>
        <v>5.070993915</v>
      </c>
      <c r="N17" s="41">
        <v>24.0</v>
      </c>
      <c r="O17" s="1"/>
      <c r="P17" s="41"/>
      <c r="Q17" s="40"/>
      <c r="R17" s="41" t="s">
        <v>102</v>
      </c>
      <c r="S17" s="52" t="s">
        <v>88</v>
      </c>
      <c r="T17" s="41" t="s">
        <v>103</v>
      </c>
      <c r="U17" s="41">
        <v>0.55</v>
      </c>
      <c r="V17" s="41" t="s">
        <v>90</v>
      </c>
      <c r="W17" s="41" t="s">
        <v>26</v>
      </c>
      <c r="X17" s="41">
        <v>936.2</v>
      </c>
      <c r="Y17" s="41">
        <v>1154.5</v>
      </c>
      <c r="Z17" s="40">
        <f t="shared" si="15"/>
        <v>218.3</v>
      </c>
      <c r="AA17" s="41">
        <v>7.25</v>
      </c>
      <c r="AB17" s="40">
        <f t="shared" si="16"/>
        <v>23.31766717</v>
      </c>
      <c r="AC17" s="41">
        <v>71.0</v>
      </c>
      <c r="AD17" s="1"/>
      <c r="AE17" s="40"/>
      <c r="AF17" s="40"/>
      <c r="AG17" s="41" t="s">
        <v>82</v>
      </c>
      <c r="AH17" s="41" t="s">
        <v>31</v>
      </c>
      <c r="AI17" s="41">
        <v>0.1</v>
      </c>
      <c r="AJ17" s="41">
        <v>0.3</v>
      </c>
      <c r="AK17" s="41">
        <v>0.4</v>
      </c>
      <c r="AL17" s="41" t="s">
        <v>32</v>
      </c>
      <c r="AM17" s="41">
        <v>262.4</v>
      </c>
      <c r="AN17" s="41">
        <v>274.5</v>
      </c>
      <c r="AO17" s="40">
        <f t="shared" si="11"/>
        <v>12.1</v>
      </c>
      <c r="AP17" s="41">
        <v>1.8</v>
      </c>
      <c r="AQ17" s="40">
        <f t="shared" si="12"/>
        <v>4.611280488</v>
      </c>
      <c r="AR17" s="41">
        <v>72.0</v>
      </c>
      <c r="AS17" s="1"/>
      <c r="AT17" s="50" t="s">
        <v>104</v>
      </c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5"/>
      <c r="BH17" s="1"/>
      <c r="BI17" s="40"/>
      <c r="BJ17" s="40"/>
      <c r="BK17" s="41" t="s">
        <v>36</v>
      </c>
      <c r="BL17" s="41" t="s">
        <v>35</v>
      </c>
      <c r="BM17" s="41">
        <v>0.65</v>
      </c>
      <c r="BN17" s="41" t="s">
        <v>25</v>
      </c>
      <c r="BO17" s="41">
        <v>0.65</v>
      </c>
      <c r="BP17" s="41" t="s">
        <v>32</v>
      </c>
      <c r="BQ17" s="41">
        <v>185.3</v>
      </c>
      <c r="BR17" s="41">
        <v>192.7</v>
      </c>
      <c r="BS17" s="40">
        <f>BR17-BQ17</f>
        <v>7.4</v>
      </c>
      <c r="BT17" s="41">
        <v>2.0</v>
      </c>
      <c r="BU17" s="40">
        <f>BR17*100/BQ17-100</f>
        <v>3.993524015</v>
      </c>
      <c r="BV17" s="41">
        <v>66.0</v>
      </c>
      <c r="BW17" s="1"/>
      <c r="BX17" s="38" t="s">
        <v>105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5"/>
      <c r="CL17" s="1"/>
      <c r="CM17" s="40"/>
      <c r="CN17" s="40"/>
      <c r="CO17" s="41" t="s">
        <v>106</v>
      </c>
      <c r="CP17" s="41" t="s">
        <v>40</v>
      </c>
      <c r="CQ17" s="41">
        <v>0.45</v>
      </c>
      <c r="CR17" s="41" t="s">
        <v>25</v>
      </c>
      <c r="CS17" s="41">
        <v>0.45</v>
      </c>
      <c r="CT17" s="41" t="s">
        <v>26</v>
      </c>
      <c r="CU17" s="41">
        <v>71.2</v>
      </c>
      <c r="CV17" s="41">
        <v>76.8</v>
      </c>
      <c r="CW17" s="40">
        <f t="shared" si="19"/>
        <v>5.6</v>
      </c>
      <c r="CX17" s="41">
        <v>0.9</v>
      </c>
      <c r="CY17" s="40">
        <f t="shared" si="20"/>
        <v>7.865168539</v>
      </c>
      <c r="CZ17" s="41">
        <v>36.0</v>
      </c>
      <c r="DA17" s="1"/>
      <c r="DB17" s="1"/>
      <c r="DC17" s="1"/>
      <c r="DD17" s="1"/>
      <c r="DE17" s="1"/>
      <c r="DF17" s="1"/>
    </row>
    <row r="18">
      <c r="A18" s="40"/>
      <c r="B18" s="40"/>
      <c r="C18" s="41" t="s">
        <v>22</v>
      </c>
      <c r="D18" s="41" t="s">
        <v>23</v>
      </c>
      <c r="E18" s="41" t="s">
        <v>24</v>
      </c>
      <c r="F18" s="41" t="s">
        <v>25</v>
      </c>
      <c r="G18" s="41" t="s">
        <v>24</v>
      </c>
      <c r="H18" s="41" t="s">
        <v>26</v>
      </c>
      <c r="I18" s="41">
        <v>1580.0</v>
      </c>
      <c r="J18" s="41">
        <v>1676.5</v>
      </c>
      <c r="K18" s="40">
        <f t="shared" si="1"/>
        <v>96.5</v>
      </c>
      <c r="L18" s="41">
        <v>21.1</v>
      </c>
      <c r="M18" s="40">
        <f t="shared" si="2"/>
        <v>6.107594937</v>
      </c>
      <c r="N18" s="41">
        <v>26.0</v>
      </c>
      <c r="O18" s="1"/>
      <c r="P18" s="47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  <c r="AD18" s="1"/>
      <c r="AE18" s="47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5"/>
      <c r="AS18" s="1"/>
      <c r="AT18" s="40"/>
      <c r="AU18" s="40"/>
      <c r="AV18" s="41" t="s">
        <v>107</v>
      </c>
      <c r="AW18" s="41" t="s">
        <v>75</v>
      </c>
      <c r="AX18" s="41">
        <v>0.5</v>
      </c>
      <c r="AY18" s="41" t="s">
        <v>25</v>
      </c>
      <c r="AZ18" s="41">
        <v>0.5</v>
      </c>
      <c r="BA18" s="41" t="s">
        <v>32</v>
      </c>
      <c r="BB18" s="41">
        <v>70.0</v>
      </c>
      <c r="BC18" s="41">
        <v>72.2</v>
      </c>
      <c r="BD18" s="40">
        <f t="shared" ref="BD18:BD23" si="21">BC18-BB18</f>
        <v>2.2</v>
      </c>
      <c r="BE18" s="41">
        <v>0.7</v>
      </c>
      <c r="BF18" s="40">
        <f t="shared" ref="BF18:BF23" si="22">BC18*100/BB18-100</f>
        <v>3.142857143</v>
      </c>
      <c r="BG18" s="41">
        <v>75.0</v>
      </c>
      <c r="BH18" s="1"/>
      <c r="BI18" s="47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5"/>
      <c r="BW18" s="1"/>
      <c r="BX18" s="40"/>
      <c r="BY18" s="40"/>
      <c r="BZ18" s="41" t="s">
        <v>108</v>
      </c>
      <c r="CA18" s="41" t="s">
        <v>37</v>
      </c>
      <c r="CB18" s="41">
        <v>0.2</v>
      </c>
      <c r="CC18" s="41">
        <v>0.55</v>
      </c>
      <c r="CD18" s="41">
        <v>0.75</v>
      </c>
      <c r="CE18" s="41" t="s">
        <v>32</v>
      </c>
      <c r="CF18" s="41">
        <v>120.5</v>
      </c>
      <c r="CG18" s="41">
        <v>128.3</v>
      </c>
      <c r="CH18" s="40">
        <f t="shared" ref="CH18:CH21" si="23">CG18-CF18</f>
        <v>7.8</v>
      </c>
      <c r="CI18" s="41">
        <v>2.8</v>
      </c>
      <c r="CJ18" s="40">
        <f t="shared" ref="CJ18:CJ21" si="24">CG18*100/CF18-100</f>
        <v>6.473029046</v>
      </c>
      <c r="CK18" s="41">
        <v>83.0</v>
      </c>
      <c r="CL18" s="1"/>
      <c r="CM18" s="40"/>
      <c r="CN18" s="40"/>
      <c r="CO18" s="41" t="s">
        <v>77</v>
      </c>
      <c r="CP18" s="41" t="s">
        <v>71</v>
      </c>
      <c r="CQ18" s="41">
        <v>0.45</v>
      </c>
      <c r="CR18" s="41" t="s">
        <v>25</v>
      </c>
      <c r="CS18" s="41">
        <v>0.45</v>
      </c>
      <c r="CT18" s="41" t="s">
        <v>26</v>
      </c>
      <c r="CU18" s="41">
        <v>23.6</v>
      </c>
      <c r="CV18" s="41">
        <v>25.0</v>
      </c>
      <c r="CW18" s="40">
        <f t="shared" si="19"/>
        <v>1.4</v>
      </c>
      <c r="CX18" s="41">
        <v>0.9</v>
      </c>
      <c r="CY18" s="40">
        <f t="shared" si="20"/>
        <v>5.93220339</v>
      </c>
      <c r="CZ18" s="41">
        <v>36.0</v>
      </c>
      <c r="DA18" s="1"/>
      <c r="DB18" s="1"/>
      <c r="DC18" s="1"/>
      <c r="DD18" s="1"/>
      <c r="DE18" s="1"/>
      <c r="DF18" s="1"/>
    </row>
    <row r="19">
      <c r="A19" s="47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1"/>
      <c r="P19" s="32" t="s">
        <v>109</v>
      </c>
      <c r="AD19" s="1"/>
      <c r="AE19" s="49" t="s">
        <v>110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5"/>
      <c r="AS19" s="1"/>
      <c r="AT19" s="40"/>
      <c r="AU19" s="40"/>
      <c r="AV19" s="41" t="s">
        <v>111</v>
      </c>
      <c r="AW19" s="41" t="s">
        <v>75</v>
      </c>
      <c r="AX19" s="41">
        <v>0.4</v>
      </c>
      <c r="AY19" s="41" t="s">
        <v>25</v>
      </c>
      <c r="AZ19" s="41">
        <v>0.4</v>
      </c>
      <c r="BA19" s="41" t="s">
        <v>26</v>
      </c>
      <c r="BB19" s="41">
        <v>228.7</v>
      </c>
      <c r="BC19" s="41">
        <v>243.6</v>
      </c>
      <c r="BD19" s="40">
        <f t="shared" si="21"/>
        <v>14.9</v>
      </c>
      <c r="BE19" s="41">
        <v>2.4</v>
      </c>
      <c r="BF19" s="40">
        <f t="shared" si="22"/>
        <v>6.515085265</v>
      </c>
      <c r="BG19" s="41">
        <v>79.0</v>
      </c>
      <c r="BH19" s="1"/>
      <c r="BI19" s="37" t="s">
        <v>112</v>
      </c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5"/>
      <c r="BW19" s="1"/>
      <c r="BX19" s="40"/>
      <c r="BY19" s="40"/>
      <c r="BZ19" s="41" t="s">
        <v>113</v>
      </c>
      <c r="CA19" s="41" t="s">
        <v>37</v>
      </c>
      <c r="CB19" s="41">
        <v>0.2</v>
      </c>
      <c r="CC19" s="41">
        <v>0.55</v>
      </c>
      <c r="CD19" s="41">
        <v>0.75</v>
      </c>
      <c r="CE19" s="41" t="s">
        <v>32</v>
      </c>
      <c r="CF19" s="41">
        <v>61.2</v>
      </c>
      <c r="CG19" s="41">
        <v>65.7</v>
      </c>
      <c r="CH19" s="40">
        <f t="shared" si="23"/>
        <v>4.5</v>
      </c>
      <c r="CI19" s="41">
        <v>0.8</v>
      </c>
      <c r="CJ19" s="40">
        <f t="shared" si="24"/>
        <v>7.352941176</v>
      </c>
      <c r="CK19" s="41">
        <v>96.0</v>
      </c>
      <c r="CL19" s="1"/>
      <c r="CM19" s="40"/>
      <c r="CN19" s="40"/>
      <c r="CO19" s="41" t="s">
        <v>58</v>
      </c>
      <c r="CP19" s="41" t="s">
        <v>40</v>
      </c>
      <c r="CQ19" s="41">
        <v>0.45</v>
      </c>
      <c r="CR19" s="41" t="s">
        <v>25</v>
      </c>
      <c r="CS19" s="41">
        <v>0.45</v>
      </c>
      <c r="CT19" s="41" t="s">
        <v>26</v>
      </c>
      <c r="CU19" s="41">
        <v>24.0</v>
      </c>
      <c r="CV19" s="41">
        <v>27.9</v>
      </c>
      <c r="CW19" s="40">
        <f t="shared" si="19"/>
        <v>3.9</v>
      </c>
      <c r="CX19" s="41" t="s">
        <v>114</v>
      </c>
      <c r="CY19" s="40">
        <f t="shared" si="20"/>
        <v>16.25</v>
      </c>
      <c r="CZ19" s="41">
        <v>36.0</v>
      </c>
      <c r="DA19" s="1"/>
      <c r="DB19" s="1"/>
      <c r="DC19" s="1"/>
      <c r="DD19" s="1"/>
      <c r="DE19" s="1"/>
      <c r="DF19" s="1"/>
    </row>
    <row r="20">
      <c r="A20" s="31" t="s">
        <v>115</v>
      </c>
      <c r="O20" s="1"/>
      <c r="P20" s="41"/>
      <c r="Q20" s="40"/>
      <c r="R20" s="41" t="s">
        <v>116</v>
      </c>
      <c r="S20" s="52" t="s">
        <v>96</v>
      </c>
      <c r="T20" s="41" t="s">
        <v>89</v>
      </c>
      <c r="U20" s="41">
        <v>0.55</v>
      </c>
      <c r="V20" s="41" t="s">
        <v>90</v>
      </c>
      <c r="W20" s="41" t="s">
        <v>26</v>
      </c>
      <c r="X20" s="41">
        <v>773.1</v>
      </c>
      <c r="Y20" s="41">
        <v>988.2</v>
      </c>
      <c r="Z20" s="40">
        <f>Y20-X20</f>
        <v>215.1</v>
      </c>
      <c r="AA20" s="41">
        <v>17.1</v>
      </c>
      <c r="AB20" s="40">
        <f>Y20*100/X20-100</f>
        <v>27.82305006</v>
      </c>
      <c r="AC20" s="41">
        <v>91.0</v>
      </c>
      <c r="AD20" s="1"/>
      <c r="AE20" s="40"/>
      <c r="AF20" s="40"/>
      <c r="AG20" s="41" t="s">
        <v>117</v>
      </c>
      <c r="AH20" s="41" t="s">
        <v>31</v>
      </c>
      <c r="AI20" s="41">
        <v>0.1</v>
      </c>
      <c r="AJ20" s="41">
        <v>0.3</v>
      </c>
      <c r="AK20" s="41">
        <v>0.4</v>
      </c>
      <c r="AL20" s="41" t="s">
        <v>32</v>
      </c>
      <c r="AM20" s="41">
        <v>165.0</v>
      </c>
      <c r="AN20" s="41">
        <v>172.8</v>
      </c>
      <c r="AO20" s="40">
        <f t="shared" ref="AO20:AO21" si="25">AN20-AM20</f>
        <v>7.8</v>
      </c>
      <c r="AP20" s="41">
        <v>3.5</v>
      </c>
      <c r="AQ20" s="40">
        <f t="shared" ref="AQ20:AQ21" si="26">AN20*100/AM20-100</f>
        <v>4.727272727</v>
      </c>
      <c r="AR20" s="41">
        <v>85.0</v>
      </c>
      <c r="AS20" s="1"/>
      <c r="AT20" s="40"/>
      <c r="AU20" s="40"/>
      <c r="AV20" s="41" t="s">
        <v>118</v>
      </c>
      <c r="AW20" s="41" t="s">
        <v>75</v>
      </c>
      <c r="AX20" s="41">
        <v>0.4</v>
      </c>
      <c r="AY20" s="41" t="s">
        <v>25</v>
      </c>
      <c r="AZ20" s="41">
        <v>0.4</v>
      </c>
      <c r="BA20" s="41" t="s">
        <v>26</v>
      </c>
      <c r="BB20" s="41">
        <v>285.4</v>
      </c>
      <c r="BC20" s="41">
        <v>291.5</v>
      </c>
      <c r="BD20" s="40">
        <f t="shared" si="21"/>
        <v>6.1</v>
      </c>
      <c r="BE20" s="41">
        <v>2.1</v>
      </c>
      <c r="BF20" s="40">
        <f t="shared" si="22"/>
        <v>2.137351086</v>
      </c>
      <c r="BG20" s="41">
        <v>79.0</v>
      </c>
      <c r="BH20" s="1"/>
      <c r="BI20" s="40"/>
      <c r="BJ20" s="40"/>
      <c r="BK20" s="41" t="s">
        <v>119</v>
      </c>
      <c r="BL20" s="41" t="s">
        <v>35</v>
      </c>
      <c r="BM20" s="41">
        <v>0.65</v>
      </c>
      <c r="BN20" s="41" t="s">
        <v>25</v>
      </c>
      <c r="BO20" s="41">
        <v>0.65</v>
      </c>
      <c r="BP20" s="41" t="s">
        <v>26</v>
      </c>
      <c r="BQ20" s="41">
        <v>34.9</v>
      </c>
      <c r="BR20" s="41">
        <v>36.8</v>
      </c>
      <c r="BS20" s="40">
        <f t="shared" ref="BS20:BS39" si="27">BR20-BQ20</f>
        <v>1.9</v>
      </c>
      <c r="BT20" s="41">
        <v>0.95</v>
      </c>
      <c r="BU20" s="40">
        <f t="shared" ref="BU20:BU39" si="28">BR20*100/BQ20-100</f>
        <v>5.444126074</v>
      </c>
      <c r="BV20" s="41">
        <v>78.0</v>
      </c>
      <c r="BW20" s="1"/>
      <c r="BX20" s="40"/>
      <c r="BY20" s="40"/>
      <c r="BZ20" s="41" t="s">
        <v>51</v>
      </c>
      <c r="CA20" s="41" t="s">
        <v>37</v>
      </c>
      <c r="CB20" s="41">
        <v>0.2</v>
      </c>
      <c r="CC20" s="41">
        <v>0.55</v>
      </c>
      <c r="CD20" s="41">
        <v>0.75</v>
      </c>
      <c r="CE20" s="41" t="s">
        <v>32</v>
      </c>
      <c r="CF20" s="41">
        <v>126.6</v>
      </c>
      <c r="CG20" s="41">
        <v>137.6</v>
      </c>
      <c r="CH20" s="40">
        <f t="shared" si="23"/>
        <v>11</v>
      </c>
      <c r="CI20" s="41">
        <v>0.5</v>
      </c>
      <c r="CJ20" s="40">
        <f t="shared" si="24"/>
        <v>8.68878357</v>
      </c>
      <c r="CK20" s="41">
        <v>96.0</v>
      </c>
      <c r="CL20" s="1"/>
      <c r="CM20" s="40"/>
      <c r="CN20" s="40"/>
      <c r="CO20" s="41" t="s">
        <v>64</v>
      </c>
      <c r="CP20" s="41" t="s">
        <v>40</v>
      </c>
      <c r="CQ20" s="41">
        <v>0.45</v>
      </c>
      <c r="CR20" s="41" t="s">
        <v>25</v>
      </c>
      <c r="CS20" s="41">
        <v>0.45</v>
      </c>
      <c r="CT20" s="41" t="s">
        <v>26</v>
      </c>
      <c r="CU20" s="41" t="s">
        <v>25</v>
      </c>
      <c r="CV20" s="41">
        <v>46.3</v>
      </c>
      <c r="CW20" s="40" t="str">
        <f t="shared" si="19"/>
        <v>#VALUE!</v>
      </c>
      <c r="CX20" s="41" t="s">
        <v>114</v>
      </c>
      <c r="CY20" s="40" t="str">
        <f t="shared" si="20"/>
        <v>#VALUE!</v>
      </c>
      <c r="CZ20" s="41">
        <v>36.0</v>
      </c>
      <c r="DA20" s="1"/>
      <c r="DB20" s="1"/>
      <c r="DC20" s="1"/>
      <c r="DD20" s="1"/>
      <c r="DE20" s="1"/>
      <c r="DF20" s="1"/>
    </row>
    <row r="21">
      <c r="A21" s="41">
        <v>1.0</v>
      </c>
      <c r="B21" s="41"/>
      <c r="C21" s="41" t="s">
        <v>22</v>
      </c>
      <c r="D21" s="41" t="s">
        <v>23</v>
      </c>
      <c r="E21" s="41" t="s">
        <v>24</v>
      </c>
      <c r="F21" s="41" t="s">
        <v>25</v>
      </c>
      <c r="G21" s="41" t="s">
        <v>24</v>
      </c>
      <c r="H21" s="41" t="s">
        <v>26</v>
      </c>
      <c r="I21" s="41">
        <v>1589.0</v>
      </c>
      <c r="J21" s="41">
        <v>1694.5</v>
      </c>
      <c r="K21" s="40">
        <f t="shared" ref="K21:K36" si="29">J21-I21</f>
        <v>105.5</v>
      </c>
      <c r="L21" s="41">
        <v>12.0</v>
      </c>
      <c r="M21" s="40">
        <f t="shared" ref="M21:M36" si="30">J21*100/I21-100</f>
        <v>6.639395846</v>
      </c>
      <c r="N21" s="41">
        <v>33.0</v>
      </c>
      <c r="O21" s="1"/>
      <c r="P21" s="5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/>
      <c r="AD21" s="1"/>
      <c r="AE21" s="40"/>
      <c r="AF21" s="40"/>
      <c r="AG21" s="41" t="s">
        <v>120</v>
      </c>
      <c r="AH21" s="41" t="s">
        <v>31</v>
      </c>
      <c r="AI21" s="41">
        <v>0.1</v>
      </c>
      <c r="AJ21" s="41">
        <v>0.3</v>
      </c>
      <c r="AK21" s="41">
        <v>0.4</v>
      </c>
      <c r="AL21" s="41" t="s">
        <v>32</v>
      </c>
      <c r="AM21" s="41" t="s">
        <v>25</v>
      </c>
      <c r="AN21" s="41">
        <v>464.7</v>
      </c>
      <c r="AO21" s="40" t="str">
        <f t="shared" si="25"/>
        <v>#VALUE!</v>
      </c>
      <c r="AP21" s="41">
        <v>5.0</v>
      </c>
      <c r="AQ21" s="40" t="str">
        <f t="shared" si="26"/>
        <v>#VALUE!</v>
      </c>
      <c r="AR21" s="41">
        <v>100.0</v>
      </c>
      <c r="AS21" s="1"/>
      <c r="AT21" s="40"/>
      <c r="AU21" s="40"/>
      <c r="AV21" s="41" t="s">
        <v>74</v>
      </c>
      <c r="AW21" s="41" t="s">
        <v>121</v>
      </c>
      <c r="AX21" s="41">
        <v>0.5</v>
      </c>
      <c r="AY21" s="41" t="s">
        <v>25</v>
      </c>
      <c r="AZ21" s="41">
        <v>0.5</v>
      </c>
      <c r="BA21" s="41" t="s">
        <v>32</v>
      </c>
      <c r="BB21" s="41">
        <v>32.5</v>
      </c>
      <c r="BC21" s="41">
        <v>33.5</v>
      </c>
      <c r="BD21" s="40">
        <f t="shared" si="21"/>
        <v>1</v>
      </c>
      <c r="BE21" s="41">
        <v>0.7</v>
      </c>
      <c r="BF21" s="40">
        <f t="shared" si="22"/>
        <v>3.076923077</v>
      </c>
      <c r="BG21" s="41">
        <v>81.0</v>
      </c>
      <c r="BH21" s="1"/>
      <c r="BI21" s="40"/>
      <c r="BJ21" s="40"/>
      <c r="BK21" s="41" t="s">
        <v>122</v>
      </c>
      <c r="BL21" s="41" t="s">
        <v>35</v>
      </c>
      <c r="BM21" s="41">
        <v>0.65</v>
      </c>
      <c r="BN21" s="41" t="s">
        <v>25</v>
      </c>
      <c r="BO21" s="41">
        <v>0.65</v>
      </c>
      <c r="BP21" s="41" t="s">
        <v>26</v>
      </c>
      <c r="BQ21" s="41">
        <v>99.5</v>
      </c>
      <c r="BR21" s="41">
        <v>108.0</v>
      </c>
      <c r="BS21" s="40">
        <f t="shared" si="27"/>
        <v>8.5</v>
      </c>
      <c r="BT21" s="41">
        <v>0.4</v>
      </c>
      <c r="BU21" s="40">
        <f t="shared" si="28"/>
        <v>8.542713568</v>
      </c>
      <c r="BV21" s="41">
        <v>78.0</v>
      </c>
      <c r="BW21" s="1"/>
      <c r="BX21" s="40"/>
      <c r="BY21" s="40"/>
      <c r="BZ21" s="41" t="s">
        <v>108</v>
      </c>
      <c r="CA21" s="41" t="s">
        <v>37</v>
      </c>
      <c r="CB21" s="41">
        <v>0.2</v>
      </c>
      <c r="CC21" s="41">
        <v>0.55</v>
      </c>
      <c r="CD21" s="41">
        <v>0.75</v>
      </c>
      <c r="CE21" s="41" t="s">
        <v>32</v>
      </c>
      <c r="CF21" s="41">
        <v>69.1</v>
      </c>
      <c r="CG21" s="41">
        <v>73.4</v>
      </c>
      <c r="CH21" s="40">
        <f t="shared" si="23"/>
        <v>4.3</v>
      </c>
      <c r="CI21" s="41">
        <v>1.1</v>
      </c>
      <c r="CJ21" s="40">
        <f t="shared" si="24"/>
        <v>6.222865412</v>
      </c>
      <c r="CK21" s="41">
        <v>109.0</v>
      </c>
      <c r="CL21" s="1"/>
      <c r="CM21" s="40"/>
      <c r="CN21" s="40"/>
      <c r="CO21" s="41" t="s">
        <v>39</v>
      </c>
      <c r="CP21" s="41" t="s">
        <v>40</v>
      </c>
      <c r="CQ21" s="41">
        <v>0.45</v>
      </c>
      <c r="CR21" s="41" t="s">
        <v>25</v>
      </c>
      <c r="CS21" s="41">
        <v>0.45</v>
      </c>
      <c r="CT21" s="41" t="s">
        <v>26</v>
      </c>
      <c r="CU21" s="41">
        <v>23.7</v>
      </c>
      <c r="CV21" s="41">
        <v>31.1</v>
      </c>
      <c r="CW21" s="40">
        <f t="shared" si="19"/>
        <v>7.4</v>
      </c>
      <c r="CX21" s="41" t="s">
        <v>114</v>
      </c>
      <c r="CY21" s="40">
        <f t="shared" si="20"/>
        <v>31.22362869</v>
      </c>
      <c r="CZ21" s="41">
        <v>36.0</v>
      </c>
      <c r="DA21" s="1"/>
      <c r="DB21" s="1"/>
      <c r="DC21" s="1"/>
      <c r="DD21" s="1"/>
      <c r="DE21" s="1"/>
      <c r="DF21" s="1"/>
    </row>
    <row r="22">
      <c r="A22" s="41">
        <v>2.0</v>
      </c>
      <c r="B22" s="40"/>
      <c r="C22" s="41" t="s">
        <v>123</v>
      </c>
      <c r="D22" s="41" t="s">
        <v>23</v>
      </c>
      <c r="E22" s="41" t="s">
        <v>24</v>
      </c>
      <c r="F22" s="41" t="s">
        <v>25</v>
      </c>
      <c r="G22" s="41" t="s">
        <v>24</v>
      </c>
      <c r="H22" s="41" t="s">
        <v>32</v>
      </c>
      <c r="I22" s="41">
        <v>73.9</v>
      </c>
      <c r="J22" s="41">
        <v>81.3</v>
      </c>
      <c r="K22" s="40">
        <f t="shared" si="29"/>
        <v>7.4</v>
      </c>
      <c r="L22" s="41">
        <v>0.9</v>
      </c>
      <c r="M22" s="40">
        <f t="shared" si="30"/>
        <v>10.0135318</v>
      </c>
      <c r="N22" s="41">
        <v>37.0</v>
      </c>
      <c r="O22" s="1"/>
      <c r="P22" s="51" t="s">
        <v>124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/>
      <c r="AD22" s="1"/>
      <c r="AE22" s="56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5"/>
      <c r="AS22" s="1"/>
      <c r="AT22" s="40"/>
      <c r="AU22" s="40"/>
      <c r="AV22" s="41" t="s">
        <v>125</v>
      </c>
      <c r="AW22" s="41" t="s">
        <v>121</v>
      </c>
      <c r="AX22" s="41">
        <v>0.4</v>
      </c>
      <c r="AY22" s="41" t="s">
        <v>25</v>
      </c>
      <c r="AZ22" s="41">
        <v>0.4</v>
      </c>
      <c r="BA22" s="41" t="s">
        <v>26</v>
      </c>
      <c r="BB22" s="41">
        <v>416.1</v>
      </c>
      <c r="BC22" s="41">
        <v>427.3</v>
      </c>
      <c r="BD22" s="40">
        <f t="shared" si="21"/>
        <v>11.2</v>
      </c>
      <c r="BE22" s="41">
        <v>3.6</v>
      </c>
      <c r="BF22" s="40">
        <f t="shared" si="22"/>
        <v>2.691660658</v>
      </c>
      <c r="BG22" s="41">
        <v>97.0</v>
      </c>
      <c r="BH22" s="1"/>
      <c r="BI22" s="40"/>
      <c r="BJ22" s="40"/>
      <c r="BK22" s="41" t="s">
        <v>126</v>
      </c>
      <c r="BL22" s="41" t="s">
        <v>35</v>
      </c>
      <c r="BM22" s="41">
        <v>0.65</v>
      </c>
      <c r="BN22" s="41" t="s">
        <v>25</v>
      </c>
      <c r="BO22" s="41">
        <v>0.65</v>
      </c>
      <c r="BP22" s="41" t="s">
        <v>26</v>
      </c>
      <c r="BQ22" s="41">
        <v>102.2</v>
      </c>
      <c r="BR22" s="41">
        <v>110.4</v>
      </c>
      <c r="BS22" s="40">
        <f t="shared" si="27"/>
        <v>8.2</v>
      </c>
      <c r="BT22" s="41">
        <v>0.3</v>
      </c>
      <c r="BU22" s="40">
        <f t="shared" si="28"/>
        <v>8.023483366</v>
      </c>
      <c r="BV22" s="41">
        <v>78.0</v>
      </c>
      <c r="BW22" s="1"/>
      <c r="CL22" s="1"/>
      <c r="CM22" s="40"/>
      <c r="CN22" s="40"/>
      <c r="CO22" s="41" t="s">
        <v>46</v>
      </c>
      <c r="CP22" s="41" t="s">
        <v>40</v>
      </c>
      <c r="CQ22" s="41">
        <v>0.45</v>
      </c>
      <c r="CR22" s="41" t="s">
        <v>25</v>
      </c>
      <c r="CS22" s="41">
        <v>0.45</v>
      </c>
      <c r="CT22" s="41" t="s">
        <v>26</v>
      </c>
      <c r="CU22" s="41">
        <v>47.5</v>
      </c>
      <c r="CV22" s="41">
        <v>52.4</v>
      </c>
      <c r="CW22" s="40">
        <f t="shared" si="19"/>
        <v>4.9</v>
      </c>
      <c r="CX22" s="41" t="s">
        <v>114</v>
      </c>
      <c r="CY22" s="40">
        <f t="shared" si="20"/>
        <v>10.31578947</v>
      </c>
      <c r="CZ22" s="41">
        <v>44.0</v>
      </c>
      <c r="DA22" s="1"/>
      <c r="DB22" s="1"/>
      <c r="DC22" s="1"/>
      <c r="DD22" s="1"/>
      <c r="DE22" s="1"/>
      <c r="DF22" s="1"/>
    </row>
    <row r="23">
      <c r="A23" s="41">
        <v>3.0</v>
      </c>
      <c r="B23" s="40"/>
      <c r="C23" s="41" t="s">
        <v>127</v>
      </c>
      <c r="D23" s="41" t="s">
        <v>23</v>
      </c>
      <c r="E23" s="41" t="s">
        <v>24</v>
      </c>
      <c r="F23" s="41" t="s">
        <v>25</v>
      </c>
      <c r="G23" s="41" t="s">
        <v>24</v>
      </c>
      <c r="H23" s="41" t="s">
        <v>32</v>
      </c>
      <c r="I23" s="41">
        <v>43.0</v>
      </c>
      <c r="J23" s="41">
        <v>45.2</v>
      </c>
      <c r="K23" s="40">
        <f t="shared" si="29"/>
        <v>2.2</v>
      </c>
      <c r="L23" s="41">
        <v>0.25</v>
      </c>
      <c r="M23" s="40">
        <f t="shared" si="30"/>
        <v>5.11627907</v>
      </c>
      <c r="N23" s="41">
        <v>37.0</v>
      </c>
      <c r="O23" s="1"/>
      <c r="P23" s="41"/>
      <c r="Q23" s="40"/>
      <c r="R23" s="41" t="s">
        <v>128</v>
      </c>
      <c r="S23" s="52" t="s">
        <v>96</v>
      </c>
      <c r="T23" s="41" t="s">
        <v>89</v>
      </c>
      <c r="U23" s="41">
        <v>0.55</v>
      </c>
      <c r="V23" s="41" t="s">
        <v>90</v>
      </c>
      <c r="W23" s="41" t="s">
        <v>26</v>
      </c>
      <c r="X23" s="41">
        <v>2057.1</v>
      </c>
      <c r="Y23" s="41">
        <v>2833.3</v>
      </c>
      <c r="Z23" s="40">
        <f t="shared" ref="Z23:Z25" si="31">Y23-X23</f>
        <v>776.2</v>
      </c>
      <c r="AA23" s="41">
        <v>17.6</v>
      </c>
      <c r="AB23" s="40">
        <f t="shared" ref="AB23:AB25" si="32">Y23*100/X23-100</f>
        <v>37.73273054</v>
      </c>
      <c r="AC23" s="41" t="s">
        <v>129</v>
      </c>
      <c r="AD23" s="1"/>
      <c r="AE23" s="49" t="s">
        <v>130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5"/>
      <c r="AS23" s="1"/>
      <c r="AT23" s="40"/>
      <c r="AU23" s="40"/>
      <c r="AV23" s="41" t="s">
        <v>131</v>
      </c>
      <c r="AW23" s="41" t="s">
        <v>121</v>
      </c>
      <c r="AX23" s="41">
        <v>0.4</v>
      </c>
      <c r="AY23" s="41" t="s">
        <v>25</v>
      </c>
      <c r="AZ23" s="41">
        <v>0.4</v>
      </c>
      <c r="BA23" s="41" t="s">
        <v>32</v>
      </c>
      <c r="BB23" s="41"/>
      <c r="BC23" s="41"/>
      <c r="BD23" s="40">
        <f t="shared" si="21"/>
        <v>0</v>
      </c>
      <c r="BE23" s="40"/>
      <c r="BF23" s="40" t="str">
        <f t="shared" si="22"/>
        <v>#DIV/0!</v>
      </c>
      <c r="BG23" s="40"/>
      <c r="BH23" s="1"/>
      <c r="BI23" s="40"/>
      <c r="BJ23" s="40"/>
      <c r="BK23" s="41" t="s">
        <v>132</v>
      </c>
      <c r="BL23" s="41" t="s">
        <v>35</v>
      </c>
      <c r="BM23" s="41">
        <v>0.65</v>
      </c>
      <c r="BN23" s="41" t="s">
        <v>25</v>
      </c>
      <c r="BO23" s="41">
        <v>0.65</v>
      </c>
      <c r="BP23" s="41" t="s">
        <v>26</v>
      </c>
      <c r="BQ23" s="41">
        <v>20.0</v>
      </c>
      <c r="BR23" s="41">
        <v>21.8</v>
      </c>
      <c r="BS23" s="40">
        <f t="shared" si="27"/>
        <v>1.8</v>
      </c>
      <c r="BT23" s="41">
        <v>0.5</v>
      </c>
      <c r="BU23" s="40">
        <f t="shared" si="28"/>
        <v>9</v>
      </c>
      <c r="BV23" s="41">
        <v>78.0</v>
      </c>
      <c r="BW23" s="1"/>
      <c r="BX23" s="38" t="s">
        <v>133</v>
      </c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5"/>
      <c r="CL23" s="1"/>
      <c r="CM23" s="40"/>
      <c r="CN23" s="40"/>
      <c r="CO23" s="41" t="s">
        <v>52</v>
      </c>
      <c r="CP23" s="41" t="s">
        <v>40</v>
      </c>
      <c r="CQ23" s="41">
        <v>0.45</v>
      </c>
      <c r="CR23" s="41" t="s">
        <v>25</v>
      </c>
      <c r="CS23" s="41">
        <v>0.45</v>
      </c>
      <c r="CT23" s="41" t="s">
        <v>26</v>
      </c>
      <c r="CU23" s="41">
        <v>23.0</v>
      </c>
      <c r="CV23" s="41">
        <v>25.5</v>
      </c>
      <c r="CW23" s="40">
        <f t="shared" si="19"/>
        <v>2.5</v>
      </c>
      <c r="CX23" s="41" t="s">
        <v>114</v>
      </c>
      <c r="CY23" s="40">
        <f t="shared" si="20"/>
        <v>10.86956522</v>
      </c>
      <c r="CZ23" s="41">
        <v>44.0</v>
      </c>
      <c r="DA23" s="1"/>
      <c r="DB23" s="1"/>
      <c r="DC23" s="1"/>
      <c r="DD23" s="1"/>
      <c r="DE23" s="1"/>
      <c r="DF23" s="1"/>
    </row>
    <row r="24">
      <c r="A24" s="41">
        <v>4.0</v>
      </c>
      <c r="B24" s="40"/>
      <c r="C24" s="41" t="s">
        <v>99</v>
      </c>
      <c r="D24" s="41" t="s">
        <v>23</v>
      </c>
      <c r="E24" s="41" t="s">
        <v>24</v>
      </c>
      <c r="F24" s="41" t="s">
        <v>25</v>
      </c>
      <c r="G24" s="41" t="s">
        <v>24</v>
      </c>
      <c r="H24" s="41" t="s">
        <v>26</v>
      </c>
      <c r="I24" s="41">
        <v>517.9</v>
      </c>
      <c r="J24" s="41">
        <v>571.6</v>
      </c>
      <c r="K24" s="40">
        <f t="shared" si="29"/>
        <v>53.7</v>
      </c>
      <c r="L24" s="41">
        <v>3.0</v>
      </c>
      <c r="M24" s="40">
        <f t="shared" si="30"/>
        <v>10.36879707</v>
      </c>
      <c r="N24" s="41">
        <v>45.0</v>
      </c>
      <c r="O24" s="1"/>
      <c r="P24" s="41"/>
      <c r="Q24" s="40"/>
      <c r="R24" s="41" t="s">
        <v>48</v>
      </c>
      <c r="S24" s="52" t="s">
        <v>96</v>
      </c>
      <c r="T24" s="41" t="s">
        <v>89</v>
      </c>
      <c r="U24" s="41">
        <v>0.55</v>
      </c>
      <c r="V24" s="41" t="s">
        <v>90</v>
      </c>
      <c r="W24" s="41" t="s">
        <v>26</v>
      </c>
      <c r="X24" s="41">
        <v>3177.1</v>
      </c>
      <c r="Y24" s="41">
        <v>4175.5</v>
      </c>
      <c r="Z24" s="40">
        <f t="shared" si="31"/>
        <v>998.4</v>
      </c>
      <c r="AA24" s="41">
        <v>57.9</v>
      </c>
      <c r="AB24" s="40">
        <f t="shared" si="32"/>
        <v>31.42488433</v>
      </c>
      <c r="AC24" s="41" t="s">
        <v>134</v>
      </c>
      <c r="AD24" s="1"/>
      <c r="AE24" s="40"/>
      <c r="AF24" s="40"/>
      <c r="AG24" s="41" t="s">
        <v>117</v>
      </c>
      <c r="AH24" s="41" t="s">
        <v>31</v>
      </c>
      <c r="AI24" s="41">
        <v>0.1</v>
      </c>
      <c r="AJ24" s="41">
        <v>0.3</v>
      </c>
      <c r="AK24" s="41">
        <v>0.4</v>
      </c>
      <c r="AL24" s="41" t="s">
        <v>32</v>
      </c>
      <c r="AM24" s="41">
        <v>155.35</v>
      </c>
      <c r="AN24" s="41">
        <v>172.9</v>
      </c>
      <c r="AO24" s="40">
        <f t="shared" ref="AO24:AO25" si="33">AN24-AM24</f>
        <v>17.55</v>
      </c>
      <c r="AP24" s="41">
        <v>2.65</v>
      </c>
      <c r="AQ24" s="42">
        <f t="shared" ref="AQ24:AQ25" si="34">AN24*100/AM24-100</f>
        <v>11.29707113</v>
      </c>
      <c r="AR24" s="41">
        <v>121.0</v>
      </c>
      <c r="AS24" s="1"/>
      <c r="AT24" s="47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5"/>
      <c r="BH24" s="1"/>
      <c r="BI24" s="40"/>
      <c r="BJ24" s="40"/>
      <c r="BK24" s="41" t="s">
        <v>113</v>
      </c>
      <c r="BL24" s="41" t="s">
        <v>35</v>
      </c>
      <c r="BM24" s="41">
        <v>0.65</v>
      </c>
      <c r="BN24" s="41" t="s">
        <v>25</v>
      </c>
      <c r="BO24" s="41">
        <v>0.65</v>
      </c>
      <c r="BP24" s="41" t="s">
        <v>26</v>
      </c>
      <c r="BQ24" s="41">
        <v>32.2</v>
      </c>
      <c r="BR24" s="41">
        <v>35.2</v>
      </c>
      <c r="BS24" s="40">
        <f t="shared" si="27"/>
        <v>3</v>
      </c>
      <c r="BT24" s="41">
        <v>0.7</v>
      </c>
      <c r="BU24" s="40">
        <f t="shared" si="28"/>
        <v>9.316770186</v>
      </c>
      <c r="BV24" s="41">
        <v>78.0</v>
      </c>
      <c r="BW24" s="1"/>
      <c r="BX24" s="40"/>
      <c r="BY24" s="40"/>
      <c r="BZ24" s="41" t="s">
        <v>77</v>
      </c>
      <c r="CA24" s="41" t="s">
        <v>37</v>
      </c>
      <c r="CB24" s="41">
        <v>0.2</v>
      </c>
      <c r="CC24" s="41">
        <v>0.55</v>
      </c>
      <c r="CD24" s="41">
        <v>0.75</v>
      </c>
      <c r="CE24" s="41" t="s">
        <v>32</v>
      </c>
      <c r="CF24" s="41">
        <v>72.6</v>
      </c>
      <c r="CG24" s="41">
        <v>76.6</v>
      </c>
      <c r="CH24" s="40">
        <f t="shared" ref="CH24:CH32" si="35">CG24-CF24</f>
        <v>4</v>
      </c>
      <c r="CI24" s="41">
        <v>1.2</v>
      </c>
      <c r="CJ24" s="40">
        <f t="shared" ref="CJ24:CJ32" si="36">CG24*100/CF24-100</f>
        <v>5.509641873</v>
      </c>
      <c r="CK24" s="41">
        <v>114.0</v>
      </c>
      <c r="CL24" s="1"/>
      <c r="CM24" s="40"/>
      <c r="CN24" s="40"/>
      <c r="CO24" s="41" t="s">
        <v>135</v>
      </c>
      <c r="CP24" s="41" t="s">
        <v>85</v>
      </c>
      <c r="CQ24" s="41">
        <v>0.45</v>
      </c>
      <c r="CR24" s="41" t="s">
        <v>25</v>
      </c>
      <c r="CS24" s="41">
        <v>0.45</v>
      </c>
      <c r="CT24" s="41" t="s">
        <v>26</v>
      </c>
      <c r="CU24" s="41">
        <v>47.0</v>
      </c>
      <c r="CV24" s="41">
        <v>52.8</v>
      </c>
      <c r="CW24" s="40">
        <f t="shared" si="19"/>
        <v>5.8</v>
      </c>
      <c r="CX24" s="41">
        <v>0.5</v>
      </c>
      <c r="CY24" s="40">
        <f t="shared" si="20"/>
        <v>12.34042553</v>
      </c>
      <c r="CZ24" s="41">
        <v>44.0</v>
      </c>
      <c r="DA24" s="1"/>
      <c r="DB24" s="1"/>
      <c r="DC24" s="1"/>
      <c r="DD24" s="1"/>
      <c r="DE24" s="1"/>
      <c r="DF24" s="1"/>
    </row>
    <row r="25">
      <c r="A25" s="41">
        <v>5.0</v>
      </c>
      <c r="B25" s="40"/>
      <c r="C25" s="41" t="s">
        <v>48</v>
      </c>
      <c r="D25" s="41" t="s">
        <v>23</v>
      </c>
      <c r="E25" s="41" t="s">
        <v>24</v>
      </c>
      <c r="F25" s="41" t="s">
        <v>25</v>
      </c>
      <c r="G25" s="41" t="s">
        <v>24</v>
      </c>
      <c r="H25" s="41" t="s">
        <v>26</v>
      </c>
      <c r="I25" s="41">
        <v>149.0</v>
      </c>
      <c r="J25" s="41">
        <v>162.7</v>
      </c>
      <c r="K25" s="40">
        <f t="shared" si="29"/>
        <v>13.7</v>
      </c>
      <c r="L25" s="41">
        <v>1.3</v>
      </c>
      <c r="M25" s="40">
        <f t="shared" si="30"/>
        <v>9.194630872</v>
      </c>
      <c r="N25" s="41">
        <v>45.0</v>
      </c>
      <c r="O25" s="1"/>
      <c r="P25" s="40"/>
      <c r="Q25" s="40"/>
      <c r="R25" s="41" t="s">
        <v>102</v>
      </c>
      <c r="S25" s="52" t="s">
        <v>96</v>
      </c>
      <c r="T25" s="41" t="s">
        <v>89</v>
      </c>
      <c r="U25" s="41">
        <v>0.55</v>
      </c>
      <c r="V25" s="41" t="s">
        <v>90</v>
      </c>
      <c r="W25" s="41" t="s">
        <v>26</v>
      </c>
      <c r="X25" s="41">
        <v>1014.6</v>
      </c>
      <c r="Y25" s="41">
        <v>1241.1</v>
      </c>
      <c r="Z25" s="40">
        <f t="shared" si="31"/>
        <v>226.5</v>
      </c>
      <c r="AA25" s="41">
        <v>15.4</v>
      </c>
      <c r="AB25" s="40">
        <f t="shared" si="32"/>
        <v>22.3240686</v>
      </c>
      <c r="AC25" s="41">
        <v>157.0</v>
      </c>
      <c r="AD25" s="1"/>
      <c r="AE25" s="40"/>
      <c r="AF25" s="40"/>
      <c r="AG25" s="41" t="s">
        <v>136</v>
      </c>
      <c r="AH25" s="41" t="s">
        <v>31</v>
      </c>
      <c r="AI25" s="41">
        <v>0.1</v>
      </c>
      <c r="AJ25" s="41">
        <v>0.3</v>
      </c>
      <c r="AK25" s="41">
        <v>0.4</v>
      </c>
      <c r="AL25" s="41" t="s">
        <v>32</v>
      </c>
      <c r="AM25" s="41">
        <v>164.35</v>
      </c>
      <c r="AN25" s="41">
        <v>170.8</v>
      </c>
      <c r="AO25" s="40">
        <f t="shared" si="33"/>
        <v>6.45</v>
      </c>
      <c r="AP25" s="41">
        <v>16.45</v>
      </c>
      <c r="AQ25" s="40">
        <f t="shared" si="34"/>
        <v>3.924551263</v>
      </c>
      <c r="AR25" s="41">
        <v>124.0</v>
      </c>
      <c r="AS25" s="1"/>
      <c r="AT25" s="50" t="s">
        <v>137</v>
      </c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5"/>
      <c r="BH25" s="1"/>
      <c r="BI25" s="40"/>
      <c r="BJ25" s="40"/>
      <c r="BK25" s="41" t="s">
        <v>108</v>
      </c>
      <c r="BL25" s="41" t="s">
        <v>35</v>
      </c>
      <c r="BM25" s="41">
        <v>0.65</v>
      </c>
      <c r="BN25" s="41" t="s">
        <v>25</v>
      </c>
      <c r="BO25" s="41">
        <v>0.65</v>
      </c>
      <c r="BP25" s="41" t="s">
        <v>32</v>
      </c>
      <c r="BQ25" s="41">
        <v>49.4</v>
      </c>
      <c r="BR25" s="41">
        <v>50.6</v>
      </c>
      <c r="BS25" s="40">
        <f t="shared" si="27"/>
        <v>1.2</v>
      </c>
      <c r="BT25" s="41">
        <v>0.7</v>
      </c>
      <c r="BU25" s="40">
        <f t="shared" si="28"/>
        <v>2.429149798</v>
      </c>
      <c r="BV25" s="41">
        <v>82.0</v>
      </c>
      <c r="BW25" s="1"/>
      <c r="BX25" s="40"/>
      <c r="BY25" s="40"/>
      <c r="BZ25" s="41" t="s">
        <v>39</v>
      </c>
      <c r="CA25" s="41" t="s">
        <v>37</v>
      </c>
      <c r="CB25" s="41">
        <v>0.2</v>
      </c>
      <c r="CC25" s="41">
        <v>0.55</v>
      </c>
      <c r="CD25" s="41">
        <v>0.75</v>
      </c>
      <c r="CE25" s="41" t="s">
        <v>32</v>
      </c>
      <c r="CF25" s="41">
        <v>101.1</v>
      </c>
      <c r="CG25" s="41">
        <v>107.2</v>
      </c>
      <c r="CH25" s="40">
        <f t="shared" si="35"/>
        <v>6.1</v>
      </c>
      <c r="CI25" s="41">
        <v>0.7</v>
      </c>
      <c r="CJ25" s="40">
        <f t="shared" si="36"/>
        <v>6.033630069</v>
      </c>
      <c r="CK25" s="41">
        <v>114.0</v>
      </c>
      <c r="CL25" s="1"/>
      <c r="CM25" s="40"/>
      <c r="CN25" s="40"/>
      <c r="CO25" s="41" t="s">
        <v>138</v>
      </c>
      <c r="CP25" s="41" t="s">
        <v>40</v>
      </c>
      <c r="CQ25" s="41">
        <v>0.45</v>
      </c>
      <c r="CR25" s="41" t="s">
        <v>25</v>
      </c>
      <c r="CS25" s="41">
        <v>0.45</v>
      </c>
      <c r="CT25" s="41" t="s">
        <v>26</v>
      </c>
      <c r="CU25" s="41">
        <v>23.5</v>
      </c>
      <c r="CV25" s="41">
        <v>26.7</v>
      </c>
      <c r="CW25" s="40">
        <f t="shared" si="19"/>
        <v>3.2</v>
      </c>
      <c r="CX25" s="41" t="s">
        <v>25</v>
      </c>
      <c r="CY25" s="40">
        <f t="shared" si="20"/>
        <v>13.61702128</v>
      </c>
      <c r="CZ25" s="41">
        <v>44.0</v>
      </c>
      <c r="DA25" s="1"/>
      <c r="DB25" s="1"/>
      <c r="DC25" s="1"/>
      <c r="DD25" s="1"/>
      <c r="DE25" s="1"/>
      <c r="DF25" s="1"/>
    </row>
    <row r="26">
      <c r="A26" s="41">
        <v>6.0</v>
      </c>
      <c r="B26" s="40"/>
      <c r="C26" s="41" t="s">
        <v>139</v>
      </c>
      <c r="D26" s="41" t="s">
        <v>23</v>
      </c>
      <c r="E26" s="41" t="s">
        <v>24</v>
      </c>
      <c r="F26" s="41" t="s">
        <v>25</v>
      </c>
      <c r="G26" s="41" t="s">
        <v>24</v>
      </c>
      <c r="H26" s="41" t="s">
        <v>26</v>
      </c>
      <c r="I26" s="41">
        <v>50.2</v>
      </c>
      <c r="J26" s="41">
        <v>55.0</v>
      </c>
      <c r="K26" s="40">
        <f t="shared" si="29"/>
        <v>4.8</v>
      </c>
      <c r="L26" s="41">
        <v>0.8</v>
      </c>
      <c r="M26" s="40">
        <f t="shared" si="30"/>
        <v>9.561752988</v>
      </c>
      <c r="N26" s="41">
        <v>45.0</v>
      </c>
      <c r="O26" s="1"/>
      <c r="P26" s="47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  <c r="AD26" s="1"/>
      <c r="AE26" s="47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5"/>
      <c r="AS26" s="1"/>
      <c r="AT26" s="40"/>
      <c r="AU26" s="40"/>
      <c r="AV26" s="41" t="s">
        <v>77</v>
      </c>
      <c r="AW26" s="41" t="s">
        <v>140</v>
      </c>
      <c r="AX26" s="41" t="s">
        <v>141</v>
      </c>
      <c r="AY26" s="41" t="s">
        <v>142</v>
      </c>
      <c r="AZ26" s="41">
        <v>0.5</v>
      </c>
      <c r="BA26" s="41" t="s">
        <v>32</v>
      </c>
      <c r="BB26" s="41">
        <v>72.6</v>
      </c>
      <c r="BC26" s="41">
        <v>76.6</v>
      </c>
      <c r="BD26" s="40">
        <f t="shared" ref="BD26:BD42" si="37">BC26-BB26</f>
        <v>4</v>
      </c>
      <c r="BE26" s="41">
        <v>1.2</v>
      </c>
      <c r="BF26" s="40">
        <f t="shared" ref="BF26:BF42" si="38">BC26*100/BB26-100</f>
        <v>5.509641873</v>
      </c>
      <c r="BG26" s="41">
        <v>114.0</v>
      </c>
      <c r="BH26" s="1"/>
      <c r="BI26" s="40"/>
      <c r="BJ26" s="40"/>
      <c r="BK26" s="41" t="s">
        <v>93</v>
      </c>
      <c r="BL26" s="41" t="s">
        <v>35</v>
      </c>
      <c r="BM26" s="41">
        <v>0.65</v>
      </c>
      <c r="BN26" s="41" t="s">
        <v>25</v>
      </c>
      <c r="BO26" s="41">
        <v>0.65</v>
      </c>
      <c r="BP26" s="41" t="s">
        <v>32</v>
      </c>
      <c r="BQ26" s="41">
        <v>52.6</v>
      </c>
      <c r="BR26" s="41">
        <v>54.0</v>
      </c>
      <c r="BS26" s="40">
        <f t="shared" si="27"/>
        <v>1.4</v>
      </c>
      <c r="BT26" s="41">
        <v>0.3</v>
      </c>
      <c r="BU26" s="40">
        <f t="shared" si="28"/>
        <v>2.661596958</v>
      </c>
      <c r="BV26" s="41">
        <v>82.0</v>
      </c>
      <c r="BW26" s="1"/>
      <c r="BX26" s="40"/>
      <c r="BY26" s="40"/>
      <c r="BZ26" s="41" t="s">
        <v>93</v>
      </c>
      <c r="CA26" s="41" t="s">
        <v>37</v>
      </c>
      <c r="CB26" s="41">
        <v>0.2</v>
      </c>
      <c r="CC26" s="41">
        <v>0.55</v>
      </c>
      <c r="CD26" s="41">
        <v>0.75</v>
      </c>
      <c r="CE26" s="41" t="s">
        <v>32</v>
      </c>
      <c r="CF26" s="41">
        <v>119.5</v>
      </c>
      <c r="CG26" s="41">
        <v>129.1</v>
      </c>
      <c r="CH26" s="40">
        <f t="shared" si="35"/>
        <v>9.6</v>
      </c>
      <c r="CI26" s="41">
        <v>2.4</v>
      </c>
      <c r="CJ26" s="40">
        <f t="shared" si="36"/>
        <v>8.033472803</v>
      </c>
      <c r="CK26" s="41">
        <v>123.0</v>
      </c>
      <c r="CL26" s="1"/>
      <c r="CM26" s="40"/>
      <c r="CN26" s="40"/>
      <c r="CO26" s="41" t="s">
        <v>143</v>
      </c>
      <c r="CP26" s="41" t="s">
        <v>85</v>
      </c>
      <c r="CQ26" s="41">
        <v>0.5</v>
      </c>
      <c r="CR26" s="41" t="s">
        <v>25</v>
      </c>
      <c r="CS26" s="41">
        <v>0.5</v>
      </c>
      <c r="CT26" s="41" t="s">
        <v>26</v>
      </c>
      <c r="CU26" s="41">
        <v>140.0</v>
      </c>
      <c r="CV26" s="41">
        <v>159.8</v>
      </c>
      <c r="CW26" s="40">
        <f t="shared" si="19"/>
        <v>19.8</v>
      </c>
      <c r="CX26" s="41">
        <v>1.5</v>
      </c>
      <c r="CY26" s="40">
        <f t="shared" si="20"/>
        <v>14.14285714</v>
      </c>
      <c r="CZ26" s="41" t="s">
        <v>144</v>
      </c>
      <c r="DA26" s="1"/>
      <c r="DB26" s="1"/>
      <c r="DC26" s="1"/>
      <c r="DD26" s="1"/>
      <c r="DE26" s="1"/>
      <c r="DF26" s="1"/>
    </row>
    <row r="27">
      <c r="A27" s="41">
        <v>7.0</v>
      </c>
      <c r="B27" s="40"/>
      <c r="C27" s="41" t="s">
        <v>106</v>
      </c>
      <c r="D27" s="41" t="s">
        <v>23</v>
      </c>
      <c r="E27" s="41" t="s">
        <v>24</v>
      </c>
      <c r="F27" s="41" t="s">
        <v>25</v>
      </c>
      <c r="G27" s="41" t="s">
        <v>24</v>
      </c>
      <c r="H27" s="41" t="s">
        <v>26</v>
      </c>
      <c r="I27" s="41">
        <v>38.6</v>
      </c>
      <c r="J27" s="41">
        <v>43.3</v>
      </c>
      <c r="K27" s="40">
        <f t="shared" si="29"/>
        <v>4.7</v>
      </c>
      <c r="L27" s="41" t="s">
        <v>25</v>
      </c>
      <c r="M27" s="40">
        <f t="shared" si="30"/>
        <v>12.1761658</v>
      </c>
      <c r="N27" s="41">
        <v>45.0</v>
      </c>
      <c r="O27" s="1"/>
      <c r="P27" s="51" t="s">
        <v>145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  <c r="AD27" s="1"/>
      <c r="AE27" s="33" t="s">
        <v>146</v>
      </c>
      <c r="AS27" s="1"/>
      <c r="AT27" s="40"/>
      <c r="AU27" s="40"/>
      <c r="AV27" s="41" t="s">
        <v>39</v>
      </c>
      <c r="AW27" s="41" t="s">
        <v>140</v>
      </c>
      <c r="AX27" s="41" t="s">
        <v>147</v>
      </c>
      <c r="AY27" s="41" t="s">
        <v>142</v>
      </c>
      <c r="AZ27" s="41">
        <v>0.5</v>
      </c>
      <c r="BA27" s="41" t="s">
        <v>32</v>
      </c>
      <c r="BB27" s="41">
        <v>101.1</v>
      </c>
      <c r="BC27" s="41">
        <v>107.2</v>
      </c>
      <c r="BD27" s="40">
        <f t="shared" si="37"/>
        <v>6.1</v>
      </c>
      <c r="BE27" s="41">
        <v>0.7</v>
      </c>
      <c r="BF27" s="40">
        <f t="shared" si="38"/>
        <v>6.033630069</v>
      </c>
      <c r="BG27" s="41">
        <v>114.0</v>
      </c>
      <c r="BH27" s="1"/>
      <c r="BI27" s="40"/>
      <c r="BJ27" s="40"/>
      <c r="BK27" s="41" t="s">
        <v>148</v>
      </c>
      <c r="BL27" s="41" t="s">
        <v>35</v>
      </c>
      <c r="BM27" s="41">
        <v>0.65</v>
      </c>
      <c r="BN27" s="41" t="s">
        <v>25</v>
      </c>
      <c r="BO27" s="41">
        <v>0.65</v>
      </c>
      <c r="BP27" s="41" t="s">
        <v>32</v>
      </c>
      <c r="BQ27" s="41">
        <v>49.3</v>
      </c>
      <c r="BR27" s="41">
        <v>50.3</v>
      </c>
      <c r="BS27" s="40">
        <f t="shared" si="27"/>
        <v>1</v>
      </c>
      <c r="BT27" s="41">
        <v>0.5</v>
      </c>
      <c r="BU27" s="40">
        <f t="shared" si="28"/>
        <v>2.028397566</v>
      </c>
      <c r="BV27" s="41">
        <v>82.0</v>
      </c>
      <c r="BW27" s="1"/>
      <c r="BX27" s="40"/>
      <c r="BY27" s="40"/>
      <c r="BZ27" s="41" t="s">
        <v>51</v>
      </c>
      <c r="CA27" s="41" t="s">
        <v>37</v>
      </c>
      <c r="CB27" s="41">
        <v>0.2</v>
      </c>
      <c r="CC27" s="41">
        <v>0.55</v>
      </c>
      <c r="CD27" s="41">
        <v>0.75</v>
      </c>
      <c r="CE27" s="41" t="s">
        <v>32</v>
      </c>
      <c r="CF27" s="41">
        <v>120.2</v>
      </c>
      <c r="CG27" s="41">
        <v>132.2</v>
      </c>
      <c r="CH27" s="40">
        <f t="shared" si="35"/>
        <v>12</v>
      </c>
      <c r="CI27" s="41">
        <v>0.8</v>
      </c>
      <c r="CJ27" s="40">
        <f t="shared" si="36"/>
        <v>9.983361065</v>
      </c>
      <c r="CK27" s="41">
        <v>123.0</v>
      </c>
      <c r="CL27" s="1"/>
      <c r="CM27" s="40"/>
      <c r="CN27" s="40"/>
      <c r="CO27" s="41" t="s">
        <v>149</v>
      </c>
      <c r="CP27" s="41" t="s">
        <v>85</v>
      </c>
      <c r="CQ27" s="41">
        <v>0.5</v>
      </c>
      <c r="CR27" s="41" t="s">
        <v>25</v>
      </c>
      <c r="CS27" s="41">
        <v>0.5</v>
      </c>
      <c r="CT27" s="41" t="s">
        <v>26</v>
      </c>
      <c r="CU27" s="41">
        <v>142.0</v>
      </c>
      <c r="CV27" s="41">
        <v>159.4</v>
      </c>
      <c r="CW27" s="40">
        <f t="shared" si="19"/>
        <v>17.4</v>
      </c>
      <c r="CX27" s="41">
        <v>1.0</v>
      </c>
      <c r="CY27" s="40">
        <f t="shared" si="20"/>
        <v>12.25352113</v>
      </c>
      <c r="CZ27" s="41">
        <v>59.0</v>
      </c>
      <c r="DA27" s="1"/>
      <c r="DB27" s="1"/>
      <c r="DC27" s="1"/>
      <c r="DD27" s="1"/>
      <c r="DE27" s="1"/>
      <c r="DF27" s="1"/>
    </row>
    <row r="28">
      <c r="A28" s="41">
        <v>8.0</v>
      </c>
      <c r="B28" s="40"/>
      <c r="C28" s="41" t="s">
        <v>77</v>
      </c>
      <c r="D28" s="41" t="s">
        <v>23</v>
      </c>
      <c r="E28" s="41" t="s">
        <v>24</v>
      </c>
      <c r="F28" s="41" t="s">
        <v>25</v>
      </c>
      <c r="G28" s="41" t="s">
        <v>24</v>
      </c>
      <c r="H28" s="41" t="s">
        <v>26</v>
      </c>
      <c r="I28" s="41">
        <v>145.0</v>
      </c>
      <c r="J28" s="41">
        <v>165.1</v>
      </c>
      <c r="K28" s="40">
        <f t="shared" si="29"/>
        <v>20.1</v>
      </c>
      <c r="L28" s="41">
        <v>2.0</v>
      </c>
      <c r="M28" s="40">
        <f t="shared" si="30"/>
        <v>13.86206897</v>
      </c>
      <c r="N28" s="41">
        <v>48.0</v>
      </c>
      <c r="O28" s="1"/>
      <c r="P28" s="41"/>
      <c r="Q28" s="40"/>
      <c r="R28" s="41" t="s">
        <v>102</v>
      </c>
      <c r="S28" s="52" t="s">
        <v>96</v>
      </c>
      <c r="T28" s="41" t="s">
        <v>89</v>
      </c>
      <c r="U28" s="41">
        <v>0.55</v>
      </c>
      <c r="V28" s="41" t="s">
        <v>90</v>
      </c>
      <c r="W28" s="41" t="s">
        <v>26</v>
      </c>
      <c r="X28" s="41">
        <v>299.5</v>
      </c>
      <c r="Y28" s="41">
        <v>371.1</v>
      </c>
      <c r="Z28" s="40">
        <f>Y28-X28</f>
        <v>71.6</v>
      </c>
      <c r="AA28" s="41">
        <v>9.0</v>
      </c>
      <c r="AB28" s="40">
        <f t="shared" ref="AB28:AB29" si="39">Y28*100/X28-100</f>
        <v>23.90651085</v>
      </c>
      <c r="AC28" s="41" t="s">
        <v>150</v>
      </c>
      <c r="AD28" s="1"/>
      <c r="AE28" s="40"/>
      <c r="AF28" s="40"/>
      <c r="AG28" s="41" t="s">
        <v>151</v>
      </c>
      <c r="AH28" s="41" t="s">
        <v>31</v>
      </c>
      <c r="AI28" s="41">
        <v>0.1</v>
      </c>
      <c r="AJ28" s="41">
        <v>0.3</v>
      </c>
      <c r="AK28" s="41">
        <v>0.4</v>
      </c>
      <c r="AL28" s="41" t="s">
        <v>32</v>
      </c>
      <c r="AM28" s="41">
        <v>243.2</v>
      </c>
      <c r="AN28" s="41">
        <v>248.2</v>
      </c>
      <c r="AO28" s="40">
        <f t="shared" ref="AO28:AO30" si="40">AN28-AM28</f>
        <v>5</v>
      </c>
      <c r="AP28" s="41">
        <v>3.0</v>
      </c>
      <c r="AQ28" s="40">
        <f t="shared" ref="AQ28:AQ30" si="41">AN28*100/AM28-100</f>
        <v>2.055921053</v>
      </c>
      <c r="AR28" s="41">
        <v>187.0</v>
      </c>
      <c r="AS28" s="1"/>
      <c r="AT28" s="40"/>
      <c r="AU28" s="40"/>
      <c r="AV28" s="41" t="s">
        <v>152</v>
      </c>
      <c r="AW28" s="41" t="s">
        <v>140</v>
      </c>
      <c r="AX28" s="41" t="s">
        <v>147</v>
      </c>
      <c r="AY28" s="41" t="s">
        <v>142</v>
      </c>
      <c r="AZ28" s="41">
        <v>0.5</v>
      </c>
      <c r="BA28" s="41" t="s">
        <v>32</v>
      </c>
      <c r="BB28" s="41">
        <v>152.4</v>
      </c>
      <c r="BC28" s="41">
        <v>162.6</v>
      </c>
      <c r="BD28" s="40">
        <f t="shared" si="37"/>
        <v>10.2</v>
      </c>
      <c r="BE28" s="41">
        <v>1.8</v>
      </c>
      <c r="BF28" s="40">
        <f t="shared" si="38"/>
        <v>6.692913386</v>
      </c>
      <c r="BG28" s="41">
        <v>117.0</v>
      </c>
      <c r="BH28" s="1"/>
      <c r="BI28" s="40"/>
      <c r="BJ28" s="40"/>
      <c r="BK28" s="41" t="s">
        <v>34</v>
      </c>
      <c r="BL28" s="41" t="s">
        <v>35</v>
      </c>
      <c r="BM28" s="41">
        <v>0.65</v>
      </c>
      <c r="BN28" s="41" t="s">
        <v>25</v>
      </c>
      <c r="BO28" s="41">
        <v>0.65</v>
      </c>
      <c r="BP28" s="41" t="s">
        <v>32</v>
      </c>
      <c r="BQ28" s="41">
        <v>50.3</v>
      </c>
      <c r="BR28" s="41">
        <v>51.5</v>
      </c>
      <c r="BS28" s="40">
        <f t="shared" si="27"/>
        <v>1.2</v>
      </c>
      <c r="BT28" s="41" t="s">
        <v>25</v>
      </c>
      <c r="BU28" s="40">
        <f t="shared" si="28"/>
        <v>2.385685885</v>
      </c>
      <c r="BV28" s="41">
        <v>82.0</v>
      </c>
      <c r="BW28" s="1"/>
      <c r="BX28" s="40"/>
      <c r="BY28" s="40"/>
      <c r="BZ28" s="41" t="s">
        <v>113</v>
      </c>
      <c r="CA28" s="41" t="s">
        <v>37</v>
      </c>
      <c r="CB28" s="41">
        <v>0.2</v>
      </c>
      <c r="CC28" s="41">
        <v>0.55</v>
      </c>
      <c r="CD28" s="41">
        <v>0.75</v>
      </c>
      <c r="CE28" s="41" t="s">
        <v>32</v>
      </c>
      <c r="CF28" s="41">
        <v>121.6</v>
      </c>
      <c r="CG28" s="41">
        <v>130.7</v>
      </c>
      <c r="CH28" s="40">
        <f t="shared" si="35"/>
        <v>9.1</v>
      </c>
      <c r="CI28" s="41">
        <v>0.9</v>
      </c>
      <c r="CJ28" s="40">
        <f t="shared" si="36"/>
        <v>7.483552632</v>
      </c>
      <c r="CK28" s="41">
        <v>137.0</v>
      </c>
      <c r="CL28" s="1"/>
      <c r="CM28" s="40"/>
      <c r="CN28" s="40"/>
      <c r="CO28" s="41" t="s">
        <v>153</v>
      </c>
      <c r="CP28" s="41" t="s">
        <v>85</v>
      </c>
      <c r="CQ28" s="41">
        <v>0.5</v>
      </c>
      <c r="CR28" s="41" t="s">
        <v>25</v>
      </c>
      <c r="CS28" s="41">
        <v>0.5</v>
      </c>
      <c r="CT28" s="41" t="s">
        <v>26</v>
      </c>
      <c r="CU28" s="41">
        <v>149.0</v>
      </c>
      <c r="CV28" s="41">
        <v>165.1</v>
      </c>
      <c r="CW28" s="40">
        <f t="shared" si="19"/>
        <v>16.1</v>
      </c>
      <c r="CX28" s="41">
        <v>1.45</v>
      </c>
      <c r="CY28" s="40">
        <f t="shared" si="20"/>
        <v>10.80536913</v>
      </c>
      <c r="CZ28" s="41">
        <v>70.0</v>
      </c>
      <c r="DA28" s="1"/>
      <c r="DB28" s="1"/>
      <c r="DC28" s="1"/>
      <c r="DD28" s="1"/>
      <c r="DE28" s="1"/>
      <c r="DF28" s="1"/>
    </row>
    <row r="29">
      <c r="A29" s="41">
        <v>9.0</v>
      </c>
      <c r="B29" s="40"/>
      <c r="C29" s="41" t="s">
        <v>154</v>
      </c>
      <c r="D29" s="41" t="s">
        <v>23</v>
      </c>
      <c r="E29" s="41" t="s">
        <v>24</v>
      </c>
      <c r="F29" s="41" t="s">
        <v>25</v>
      </c>
      <c r="G29" s="41" t="s">
        <v>24</v>
      </c>
      <c r="H29" s="41" t="s">
        <v>32</v>
      </c>
      <c r="I29" s="41">
        <v>25.0</v>
      </c>
      <c r="J29" s="41">
        <v>26.3</v>
      </c>
      <c r="K29" s="40">
        <f t="shared" si="29"/>
        <v>1.3</v>
      </c>
      <c r="L29" s="41" t="s">
        <v>25</v>
      </c>
      <c r="M29" s="40">
        <f t="shared" si="30"/>
        <v>5.2</v>
      </c>
      <c r="N29" s="41">
        <v>51.0</v>
      </c>
      <c r="O29" s="1"/>
      <c r="P29" s="41"/>
      <c r="Q29" s="40"/>
      <c r="R29" s="41" t="s">
        <v>128</v>
      </c>
      <c r="S29" s="52" t="s">
        <v>96</v>
      </c>
      <c r="T29" s="41" t="s">
        <v>89</v>
      </c>
      <c r="U29" s="41">
        <v>0.55</v>
      </c>
      <c r="V29" s="41" t="s">
        <v>90</v>
      </c>
      <c r="W29" s="41" t="s">
        <v>26</v>
      </c>
      <c r="X29" s="41" t="s">
        <v>25</v>
      </c>
      <c r="Y29" s="41" t="s">
        <v>25</v>
      </c>
      <c r="Z29" s="40"/>
      <c r="AA29" s="40"/>
      <c r="AB29" s="40" t="str">
        <f t="shared" si="39"/>
        <v>#VALUE!</v>
      </c>
      <c r="AC29" s="40"/>
      <c r="AD29" s="1"/>
      <c r="AE29" s="40"/>
      <c r="AF29" s="40"/>
      <c r="AG29" s="41" t="s">
        <v>155</v>
      </c>
      <c r="AH29" s="41" t="s">
        <v>31</v>
      </c>
      <c r="AI29" s="41">
        <v>0.1</v>
      </c>
      <c r="AJ29" s="41">
        <v>0.3</v>
      </c>
      <c r="AK29" s="41">
        <v>0.4</v>
      </c>
      <c r="AL29" s="41" t="s">
        <v>32</v>
      </c>
      <c r="AM29" s="41">
        <v>130.05</v>
      </c>
      <c r="AN29" s="41">
        <v>139.8</v>
      </c>
      <c r="AO29" s="40">
        <f t="shared" si="40"/>
        <v>9.75</v>
      </c>
      <c r="AP29" s="41">
        <v>11.15</v>
      </c>
      <c r="AQ29" s="40">
        <f t="shared" si="41"/>
        <v>7.497116494</v>
      </c>
      <c r="AR29" s="41">
        <v>197.0</v>
      </c>
      <c r="AS29" s="1"/>
      <c r="AT29" s="40"/>
      <c r="AU29" s="40"/>
      <c r="AV29" s="41" t="s">
        <v>156</v>
      </c>
      <c r="AW29" s="41" t="s">
        <v>68</v>
      </c>
      <c r="AX29" s="41">
        <v>0.35</v>
      </c>
      <c r="AY29" s="41" t="s">
        <v>25</v>
      </c>
      <c r="AZ29" s="41">
        <v>0.35</v>
      </c>
      <c r="BA29" s="41" t="s">
        <v>32</v>
      </c>
      <c r="BB29" s="41">
        <v>230.4</v>
      </c>
      <c r="BC29" s="41">
        <v>245.0</v>
      </c>
      <c r="BD29" s="40">
        <f t="shared" si="37"/>
        <v>14.6</v>
      </c>
      <c r="BE29" s="41">
        <v>2.6</v>
      </c>
      <c r="BF29" s="42">
        <f t="shared" si="38"/>
        <v>6.336805556</v>
      </c>
      <c r="BG29" s="41">
        <v>125.0</v>
      </c>
      <c r="BH29" s="1"/>
      <c r="BI29" s="40"/>
      <c r="BJ29" s="40"/>
      <c r="BK29" s="41" t="s">
        <v>51</v>
      </c>
      <c r="BL29" s="41" t="s">
        <v>35</v>
      </c>
      <c r="BM29" s="41">
        <v>0.65</v>
      </c>
      <c r="BN29" s="41" t="s">
        <v>25</v>
      </c>
      <c r="BO29" s="41">
        <v>0.65</v>
      </c>
      <c r="BP29" s="41" t="s">
        <v>32</v>
      </c>
      <c r="BQ29" s="41">
        <v>54.8</v>
      </c>
      <c r="BR29" s="41">
        <v>56.8</v>
      </c>
      <c r="BS29" s="40">
        <f t="shared" si="27"/>
        <v>2</v>
      </c>
      <c r="BT29" s="41" t="s">
        <v>25</v>
      </c>
      <c r="BU29" s="40">
        <f t="shared" si="28"/>
        <v>3.649635036</v>
      </c>
      <c r="BV29" s="41">
        <v>82.0</v>
      </c>
      <c r="BW29" s="1"/>
      <c r="BX29" s="40"/>
      <c r="BY29" s="40"/>
      <c r="BZ29" s="41" t="s">
        <v>34</v>
      </c>
      <c r="CA29" s="41" t="s">
        <v>37</v>
      </c>
      <c r="CB29" s="41">
        <v>0.2</v>
      </c>
      <c r="CC29" s="41">
        <v>0.55</v>
      </c>
      <c r="CD29" s="41">
        <v>0.75</v>
      </c>
      <c r="CE29" s="41" t="s">
        <v>32</v>
      </c>
      <c r="CF29" s="41">
        <v>121.8</v>
      </c>
      <c r="CG29" s="41">
        <v>1.1</v>
      </c>
      <c r="CH29" s="40">
        <f t="shared" si="35"/>
        <v>-120.7</v>
      </c>
      <c r="CI29" s="41">
        <v>1.1</v>
      </c>
      <c r="CJ29" s="40">
        <f t="shared" si="36"/>
        <v>-99.09688013</v>
      </c>
      <c r="CK29" s="41">
        <v>154.0</v>
      </c>
      <c r="CL29" s="1"/>
      <c r="CM29" s="47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5"/>
      <c r="DA29" s="1"/>
      <c r="DB29" s="1"/>
      <c r="DC29" s="1"/>
      <c r="DD29" s="1"/>
      <c r="DE29" s="1"/>
      <c r="DF29" s="1"/>
    </row>
    <row r="30">
      <c r="A30" s="41">
        <v>10.0</v>
      </c>
      <c r="B30" s="40"/>
      <c r="C30" s="41" t="s">
        <v>117</v>
      </c>
      <c r="D30" s="41" t="s">
        <v>23</v>
      </c>
      <c r="E30" s="41" t="s">
        <v>24</v>
      </c>
      <c r="F30" s="41" t="s">
        <v>25</v>
      </c>
      <c r="G30" s="41" t="s">
        <v>24</v>
      </c>
      <c r="H30" s="41" t="s">
        <v>32</v>
      </c>
      <c r="I30" s="41">
        <v>27.0</v>
      </c>
      <c r="J30" s="41">
        <v>28.5</v>
      </c>
      <c r="K30" s="40">
        <f t="shared" si="29"/>
        <v>1.5</v>
      </c>
      <c r="L30" s="41">
        <v>0.1</v>
      </c>
      <c r="M30" s="40">
        <f t="shared" si="30"/>
        <v>5.555555556</v>
      </c>
      <c r="N30" s="41">
        <v>51.0</v>
      </c>
      <c r="O30" s="1"/>
      <c r="P30" s="32" t="s">
        <v>157</v>
      </c>
      <c r="AD30" s="1"/>
      <c r="AE30" s="40"/>
      <c r="AF30" s="40"/>
      <c r="AG30" s="41" t="s">
        <v>158</v>
      </c>
      <c r="AH30" s="41" t="s">
        <v>31</v>
      </c>
      <c r="AI30" s="41">
        <v>0.1</v>
      </c>
      <c r="AJ30" s="41">
        <v>0.3</v>
      </c>
      <c r="AK30" s="41">
        <v>0.4</v>
      </c>
      <c r="AL30" s="41" t="s">
        <v>32</v>
      </c>
      <c r="AM30" s="41">
        <v>170.8</v>
      </c>
      <c r="AN30" s="41">
        <v>178.5</v>
      </c>
      <c r="AO30" s="40">
        <f t="shared" si="40"/>
        <v>7.7</v>
      </c>
      <c r="AP30" s="41">
        <v>2.4</v>
      </c>
      <c r="AQ30" s="40">
        <f t="shared" si="41"/>
        <v>4.508196721</v>
      </c>
      <c r="AR30" s="41">
        <v>198.0</v>
      </c>
      <c r="AS30" s="1"/>
      <c r="AT30" s="40"/>
      <c r="AU30" s="40"/>
      <c r="AV30" s="41" t="s">
        <v>159</v>
      </c>
      <c r="AW30" s="41" t="s">
        <v>68</v>
      </c>
      <c r="AX30" s="41">
        <v>0.35</v>
      </c>
      <c r="AY30" s="41" t="s">
        <v>25</v>
      </c>
      <c r="AZ30" s="41">
        <v>0.35</v>
      </c>
      <c r="BA30" s="41" t="s">
        <v>32</v>
      </c>
      <c r="BB30" s="41">
        <v>285.7</v>
      </c>
      <c r="BC30" s="41">
        <v>297.6</v>
      </c>
      <c r="BD30" s="40">
        <f t="shared" si="37"/>
        <v>11.9</v>
      </c>
      <c r="BE30" s="41">
        <v>1.3</v>
      </c>
      <c r="BF30" s="40">
        <f t="shared" si="38"/>
        <v>4.16520826</v>
      </c>
      <c r="BG30" s="41">
        <v>125.0</v>
      </c>
      <c r="BH30" s="1"/>
      <c r="BI30" s="40"/>
      <c r="BJ30" s="40"/>
      <c r="BK30" s="41" t="s">
        <v>160</v>
      </c>
      <c r="BL30" s="41" t="s">
        <v>35</v>
      </c>
      <c r="BM30" s="41">
        <v>0.65</v>
      </c>
      <c r="BN30" s="41" t="s">
        <v>25</v>
      </c>
      <c r="BO30" s="41">
        <v>0.65</v>
      </c>
      <c r="BP30" s="41" t="s">
        <v>32</v>
      </c>
      <c r="BQ30" s="41">
        <v>63.7</v>
      </c>
      <c r="BR30" s="41">
        <v>65.5</v>
      </c>
      <c r="BS30" s="40">
        <f t="shared" si="27"/>
        <v>1.8</v>
      </c>
      <c r="BT30" s="41">
        <v>0.5</v>
      </c>
      <c r="BU30" s="40">
        <f t="shared" si="28"/>
        <v>2.825745683</v>
      </c>
      <c r="BV30" s="41">
        <v>82.0</v>
      </c>
      <c r="BW30" s="1"/>
      <c r="BX30" s="40"/>
      <c r="BY30" s="40"/>
      <c r="BZ30" s="41" t="s">
        <v>45</v>
      </c>
      <c r="CA30" s="41" t="s">
        <v>37</v>
      </c>
      <c r="CB30" s="41">
        <v>0.2</v>
      </c>
      <c r="CC30" s="41">
        <v>0.550000000000001</v>
      </c>
      <c r="CD30" s="41">
        <v>0.75</v>
      </c>
      <c r="CE30" s="41" t="s">
        <v>32</v>
      </c>
      <c r="CF30" s="41">
        <v>59.5</v>
      </c>
      <c r="CG30" s="41">
        <v>62.7</v>
      </c>
      <c r="CH30" s="40">
        <f t="shared" si="35"/>
        <v>3.2</v>
      </c>
      <c r="CI30" s="41">
        <v>0.7</v>
      </c>
      <c r="CJ30" s="40">
        <f t="shared" si="36"/>
        <v>5.378151261</v>
      </c>
      <c r="CK30" s="41">
        <v>154.0</v>
      </c>
      <c r="CL30" s="1"/>
      <c r="CM30" s="54" t="s">
        <v>161</v>
      </c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5"/>
      <c r="DA30" s="1"/>
      <c r="DB30" s="1"/>
      <c r="DC30" s="1"/>
      <c r="DD30" s="1"/>
      <c r="DE30" s="1"/>
      <c r="DF30" s="1"/>
    </row>
    <row r="31">
      <c r="A31" s="41">
        <v>11.0</v>
      </c>
      <c r="B31" s="40"/>
      <c r="C31" s="41" t="s">
        <v>34</v>
      </c>
      <c r="D31" s="41" t="s">
        <v>23</v>
      </c>
      <c r="E31" s="41" t="s">
        <v>24</v>
      </c>
      <c r="F31" s="41" t="s">
        <v>25</v>
      </c>
      <c r="G31" s="41" t="s">
        <v>24</v>
      </c>
      <c r="H31" s="41" t="s">
        <v>32</v>
      </c>
      <c r="I31" s="41">
        <v>26.0</v>
      </c>
      <c r="J31" s="41">
        <v>27.8</v>
      </c>
      <c r="K31" s="40">
        <f t="shared" si="29"/>
        <v>1.8</v>
      </c>
      <c r="L31" s="41" t="s">
        <v>25</v>
      </c>
      <c r="M31" s="40">
        <f t="shared" si="30"/>
        <v>6.923076923</v>
      </c>
      <c r="N31" s="41">
        <v>52.0</v>
      </c>
      <c r="O31" s="1"/>
      <c r="P31" s="41"/>
      <c r="Q31" s="40"/>
      <c r="R31" s="41" t="s">
        <v>128</v>
      </c>
      <c r="S31" s="52" t="s">
        <v>96</v>
      </c>
      <c r="T31" s="41" t="s">
        <v>89</v>
      </c>
      <c r="U31" s="41">
        <v>0.55</v>
      </c>
      <c r="V31" s="41" t="s">
        <v>90</v>
      </c>
      <c r="W31" s="41" t="s">
        <v>26</v>
      </c>
      <c r="X31" s="41">
        <v>499.4</v>
      </c>
      <c r="Y31" s="41">
        <v>649.9</v>
      </c>
      <c r="Z31" s="40">
        <f t="shared" ref="Z31:Z34" si="42">Y31-X31</f>
        <v>150.5</v>
      </c>
      <c r="AA31" s="41">
        <v>7.6</v>
      </c>
      <c r="AB31" s="40">
        <f t="shared" ref="AB31:AB34" si="43">Y31*100/X31-100</f>
        <v>30.1361634</v>
      </c>
      <c r="AC31" s="41">
        <v>215.0</v>
      </c>
      <c r="AD31" s="1"/>
      <c r="AE31" s="1"/>
      <c r="AS31" s="1"/>
      <c r="AT31" s="40"/>
      <c r="AU31" s="40"/>
      <c r="AV31" s="41" t="s">
        <v>162</v>
      </c>
      <c r="AW31" s="41" t="s">
        <v>68</v>
      </c>
      <c r="AX31" s="41">
        <v>0.35</v>
      </c>
      <c r="AY31" s="41" t="s">
        <v>25</v>
      </c>
      <c r="AZ31" s="41">
        <v>0.35</v>
      </c>
      <c r="BA31" s="41" t="s">
        <v>32</v>
      </c>
      <c r="BB31" s="41">
        <v>100.15</v>
      </c>
      <c r="BC31" s="41">
        <v>105.8</v>
      </c>
      <c r="BD31" s="40">
        <f t="shared" si="37"/>
        <v>5.65</v>
      </c>
      <c r="BE31" s="41">
        <v>0.85</v>
      </c>
      <c r="BF31" s="40">
        <f t="shared" si="38"/>
        <v>5.641537693</v>
      </c>
      <c r="BG31" s="41">
        <v>126.0</v>
      </c>
      <c r="BH31" s="1"/>
      <c r="BI31" s="40"/>
      <c r="BJ31" s="40"/>
      <c r="BK31" s="41" t="s">
        <v>41</v>
      </c>
      <c r="BL31" s="41" t="s">
        <v>35</v>
      </c>
      <c r="BM31" s="41">
        <v>0.65</v>
      </c>
      <c r="BN31" s="41" t="s">
        <v>25</v>
      </c>
      <c r="BO31" s="41">
        <v>0.65</v>
      </c>
      <c r="BP31" s="41" t="s">
        <v>26</v>
      </c>
      <c r="BQ31" s="41">
        <v>374.8</v>
      </c>
      <c r="BR31" s="41">
        <v>395.0</v>
      </c>
      <c r="BS31" s="40">
        <f t="shared" si="27"/>
        <v>20.2</v>
      </c>
      <c r="BT31" s="41">
        <v>3.5</v>
      </c>
      <c r="BU31" s="40">
        <f t="shared" si="28"/>
        <v>5.389541089</v>
      </c>
      <c r="BV31" s="41">
        <v>88.0</v>
      </c>
      <c r="BW31" s="1"/>
      <c r="BX31" s="40"/>
      <c r="BY31" s="40"/>
      <c r="BZ31" s="41" t="s">
        <v>93</v>
      </c>
      <c r="CA31" s="41" t="s">
        <v>37</v>
      </c>
      <c r="CB31" s="41">
        <v>0.2</v>
      </c>
      <c r="CC31" s="41">
        <v>0.550000000000001</v>
      </c>
      <c r="CD31" s="41">
        <v>0.75</v>
      </c>
      <c r="CE31" s="41" t="s">
        <v>32</v>
      </c>
      <c r="CF31" s="41">
        <v>113.9</v>
      </c>
      <c r="CG31" s="41">
        <v>120.4</v>
      </c>
      <c r="CH31" s="40">
        <f t="shared" si="35"/>
        <v>6.5</v>
      </c>
      <c r="CI31" s="41">
        <v>1.0</v>
      </c>
      <c r="CJ31" s="40">
        <f t="shared" si="36"/>
        <v>5.706760316</v>
      </c>
      <c r="CK31" s="41">
        <v>154.0</v>
      </c>
      <c r="CL31" s="1"/>
      <c r="CM31" s="40"/>
      <c r="CN31" s="40"/>
      <c r="CO31" s="41" t="s">
        <v>163</v>
      </c>
      <c r="CP31" s="41" t="s">
        <v>85</v>
      </c>
      <c r="CQ31" s="41">
        <v>0.5</v>
      </c>
      <c r="CR31" s="41" t="s">
        <v>25</v>
      </c>
      <c r="CS31" s="41">
        <v>0.5</v>
      </c>
      <c r="CT31" s="41" t="s">
        <v>26</v>
      </c>
      <c r="CU31" s="41" t="s">
        <v>25</v>
      </c>
      <c r="CV31" s="41">
        <v>27.9</v>
      </c>
      <c r="CW31" s="40" t="str">
        <f t="shared" ref="CW31:CW52" si="44">CV31-CU31</f>
        <v>#VALUE!</v>
      </c>
      <c r="CX31" s="41" t="s">
        <v>25</v>
      </c>
      <c r="CY31" s="40" t="str">
        <f t="shared" ref="CY31:CY52" si="45">CV31*100/CU31-100</f>
        <v>#VALUE!</v>
      </c>
      <c r="CZ31" s="41">
        <v>73.0</v>
      </c>
      <c r="DA31" s="1"/>
      <c r="DB31" s="1"/>
      <c r="DC31" s="1"/>
      <c r="DD31" s="1"/>
      <c r="DE31" s="1"/>
      <c r="DF31" s="1"/>
    </row>
    <row r="32">
      <c r="A32" s="41">
        <v>12.0</v>
      </c>
      <c r="B32" s="40"/>
      <c r="C32" s="41" t="s">
        <v>22</v>
      </c>
      <c r="D32" s="41" t="s">
        <v>23</v>
      </c>
      <c r="E32" s="41" t="s">
        <v>24</v>
      </c>
      <c r="F32" s="41" t="s">
        <v>25</v>
      </c>
      <c r="G32" s="41" t="s">
        <v>24</v>
      </c>
      <c r="H32" s="41" t="s">
        <v>26</v>
      </c>
      <c r="I32" s="41">
        <v>240.1</v>
      </c>
      <c r="J32" s="41">
        <v>257.3</v>
      </c>
      <c r="K32" s="40">
        <f t="shared" si="29"/>
        <v>17.2</v>
      </c>
      <c r="L32" s="41">
        <v>2.3</v>
      </c>
      <c r="M32" s="40">
        <f t="shared" si="30"/>
        <v>7.163681799</v>
      </c>
      <c r="N32" s="41">
        <v>55.0</v>
      </c>
      <c r="O32" s="57"/>
      <c r="P32" s="41"/>
      <c r="Q32" s="40"/>
      <c r="R32" s="41" t="s">
        <v>116</v>
      </c>
      <c r="S32" s="52" t="s">
        <v>96</v>
      </c>
      <c r="T32" s="41" t="s">
        <v>89</v>
      </c>
      <c r="U32" s="41">
        <v>0.55</v>
      </c>
      <c r="V32" s="41" t="s">
        <v>90</v>
      </c>
      <c r="W32" s="41" t="s">
        <v>26</v>
      </c>
      <c r="X32" s="41">
        <v>377.4</v>
      </c>
      <c r="Y32" s="41">
        <v>483.2</v>
      </c>
      <c r="Z32" s="40">
        <f t="shared" si="42"/>
        <v>105.8</v>
      </c>
      <c r="AA32" s="41">
        <v>3.8</v>
      </c>
      <c r="AB32" s="40">
        <f t="shared" si="43"/>
        <v>28.03391627</v>
      </c>
      <c r="AC32" s="41">
        <v>224.0</v>
      </c>
      <c r="AD32" s="1"/>
      <c r="AE32" s="33" t="s">
        <v>164</v>
      </c>
      <c r="AS32" s="1"/>
      <c r="AT32" s="40"/>
      <c r="AU32" s="40"/>
      <c r="AV32" s="41" t="s">
        <v>165</v>
      </c>
      <c r="AW32" s="41" t="s">
        <v>140</v>
      </c>
      <c r="AX32" s="41" t="s">
        <v>147</v>
      </c>
      <c r="AY32" s="41" t="s">
        <v>142</v>
      </c>
      <c r="AZ32" s="41">
        <v>0.5</v>
      </c>
      <c r="BA32" s="41" t="s">
        <v>32</v>
      </c>
      <c r="BB32" s="41">
        <v>139.45</v>
      </c>
      <c r="BC32" s="41">
        <v>151.8</v>
      </c>
      <c r="BD32" s="40">
        <f t="shared" si="37"/>
        <v>12.35</v>
      </c>
      <c r="BE32" s="41">
        <v>4.85</v>
      </c>
      <c r="BF32" s="40">
        <f t="shared" si="38"/>
        <v>8.856220868</v>
      </c>
      <c r="BG32" s="41">
        <v>126.0</v>
      </c>
      <c r="BH32" s="1"/>
      <c r="BI32" s="40"/>
      <c r="BJ32" s="40"/>
      <c r="BK32" s="41" t="s">
        <v>64</v>
      </c>
      <c r="BL32" s="41" t="s">
        <v>35</v>
      </c>
      <c r="BM32" s="41">
        <v>0.65</v>
      </c>
      <c r="BN32" s="41" t="s">
        <v>25</v>
      </c>
      <c r="BO32" s="41">
        <v>0.65</v>
      </c>
      <c r="BP32" s="41" t="s">
        <v>26</v>
      </c>
      <c r="BQ32" s="41" t="s">
        <v>25</v>
      </c>
      <c r="BR32" s="41">
        <v>162.4</v>
      </c>
      <c r="BS32" s="40" t="str">
        <f t="shared" si="27"/>
        <v>#VALUE!</v>
      </c>
      <c r="BT32" s="41" t="s">
        <v>25</v>
      </c>
      <c r="BU32" s="40" t="str">
        <f t="shared" si="28"/>
        <v>#VALUE!</v>
      </c>
      <c r="BV32" s="41">
        <v>88.0</v>
      </c>
      <c r="BW32" s="1"/>
      <c r="BX32" s="40"/>
      <c r="BY32" s="40"/>
      <c r="BZ32" s="41" t="s">
        <v>98</v>
      </c>
      <c r="CA32" s="41" t="s">
        <v>37</v>
      </c>
      <c r="CB32" s="41">
        <v>0.2</v>
      </c>
      <c r="CC32" s="41">
        <v>0.550000000000001</v>
      </c>
      <c r="CD32" s="41">
        <v>0.75</v>
      </c>
      <c r="CE32" s="41" t="s">
        <v>32</v>
      </c>
      <c r="CF32" s="41">
        <v>61.0</v>
      </c>
      <c r="CG32" s="41">
        <v>65.0</v>
      </c>
      <c r="CH32" s="40">
        <f t="shared" si="35"/>
        <v>4</v>
      </c>
      <c r="CI32" s="41">
        <v>0.4</v>
      </c>
      <c r="CJ32" s="40">
        <f t="shared" si="36"/>
        <v>6.557377049</v>
      </c>
      <c r="CK32" s="41">
        <v>154.0</v>
      </c>
      <c r="CL32" s="1"/>
      <c r="CM32" s="40"/>
      <c r="CN32" s="40"/>
      <c r="CO32" s="41" t="s">
        <v>46</v>
      </c>
      <c r="CP32" s="41" t="s">
        <v>85</v>
      </c>
      <c r="CQ32" s="41">
        <v>0.5</v>
      </c>
      <c r="CR32" s="41" t="s">
        <v>25</v>
      </c>
      <c r="CS32" s="41">
        <v>0.5</v>
      </c>
      <c r="CT32" s="41" t="s">
        <v>26</v>
      </c>
      <c r="CU32" s="41">
        <v>33.0</v>
      </c>
      <c r="CV32" s="41">
        <v>35.9</v>
      </c>
      <c r="CW32" s="40">
        <f t="shared" si="44"/>
        <v>2.9</v>
      </c>
      <c r="CX32" s="41">
        <v>0.4</v>
      </c>
      <c r="CY32" s="40">
        <f t="shared" si="45"/>
        <v>8.787878788</v>
      </c>
      <c r="CZ32" s="41">
        <v>73.0</v>
      </c>
      <c r="DA32" s="1"/>
      <c r="DB32" s="1"/>
      <c r="DC32" s="1"/>
      <c r="DD32" s="1"/>
      <c r="DE32" s="1"/>
      <c r="DF32" s="1"/>
    </row>
    <row r="33">
      <c r="A33" s="41">
        <v>13.0</v>
      </c>
      <c r="B33" s="40"/>
      <c r="C33" s="41" t="s">
        <v>166</v>
      </c>
      <c r="D33" s="41" t="s">
        <v>23</v>
      </c>
      <c r="E33" s="41" t="s">
        <v>24</v>
      </c>
      <c r="F33" s="41" t="s">
        <v>25</v>
      </c>
      <c r="G33" s="41" t="s">
        <v>24</v>
      </c>
      <c r="H33" s="41" t="s">
        <v>26</v>
      </c>
      <c r="I33" s="41">
        <v>590.8</v>
      </c>
      <c r="J33" s="41">
        <v>693.6</v>
      </c>
      <c r="K33" s="40">
        <f t="shared" si="29"/>
        <v>102.8</v>
      </c>
      <c r="L33" s="41">
        <v>2.2</v>
      </c>
      <c r="M33" s="42">
        <f t="shared" si="30"/>
        <v>17.40013541</v>
      </c>
      <c r="N33" s="41">
        <v>56.0</v>
      </c>
      <c r="O33" s="1"/>
      <c r="P33" s="41"/>
      <c r="Q33" s="40"/>
      <c r="R33" s="41" t="s">
        <v>48</v>
      </c>
      <c r="S33" s="52" t="s">
        <v>96</v>
      </c>
      <c r="T33" s="41" t="s">
        <v>89</v>
      </c>
      <c r="U33" s="41">
        <v>0.55</v>
      </c>
      <c r="V33" s="41" t="s">
        <v>90</v>
      </c>
      <c r="W33" s="41" t="s">
        <v>26</v>
      </c>
      <c r="X33" s="41">
        <v>714.2</v>
      </c>
      <c r="Y33" s="41">
        <v>896.8</v>
      </c>
      <c r="Z33" s="40">
        <f t="shared" si="42"/>
        <v>182.6</v>
      </c>
      <c r="AA33" s="41">
        <v>6.8</v>
      </c>
      <c r="AB33" s="40">
        <f t="shared" si="43"/>
        <v>25.56706805</v>
      </c>
      <c r="AC33" s="41">
        <v>238.0</v>
      </c>
      <c r="AD33" s="1"/>
      <c r="AE33" s="40"/>
      <c r="AF33" s="40"/>
      <c r="AG33" s="41" t="s">
        <v>167</v>
      </c>
      <c r="AH33" s="41" t="s">
        <v>31</v>
      </c>
      <c r="AI33" s="41">
        <v>0.1</v>
      </c>
      <c r="AJ33" s="41">
        <v>0.3</v>
      </c>
      <c r="AK33" s="41">
        <v>0.4</v>
      </c>
      <c r="AL33" s="41" t="s">
        <v>32</v>
      </c>
      <c r="AM33" s="41">
        <v>58.6</v>
      </c>
      <c r="AN33" s="41">
        <v>61.1</v>
      </c>
      <c r="AO33" s="40">
        <f>AN33-AM33</f>
        <v>2.5</v>
      </c>
      <c r="AP33" s="41">
        <v>7.8</v>
      </c>
      <c r="AQ33" s="40">
        <f>AN33*100/AM33-100</f>
        <v>4.266211604</v>
      </c>
      <c r="AR33" s="41">
        <v>216.0</v>
      </c>
      <c r="AS33" s="1"/>
      <c r="AT33" s="40"/>
      <c r="AU33" s="40"/>
      <c r="AV33" s="41" t="s">
        <v>168</v>
      </c>
      <c r="AW33" s="41" t="s">
        <v>140</v>
      </c>
      <c r="AX33" s="41" t="s">
        <v>147</v>
      </c>
      <c r="AY33" s="41" t="s">
        <v>142</v>
      </c>
      <c r="AZ33" s="41">
        <v>0.5</v>
      </c>
      <c r="BA33" s="41" t="s">
        <v>32</v>
      </c>
      <c r="BB33" s="41">
        <v>86.4</v>
      </c>
      <c r="BC33" s="41">
        <v>92.8</v>
      </c>
      <c r="BD33" s="40">
        <f t="shared" si="37"/>
        <v>6.4</v>
      </c>
      <c r="BE33" s="41">
        <v>1.7</v>
      </c>
      <c r="BF33" s="40">
        <f t="shared" si="38"/>
        <v>7.407407407</v>
      </c>
      <c r="BG33" s="41">
        <v>127.0</v>
      </c>
      <c r="BH33" s="1"/>
      <c r="BI33" s="40"/>
      <c r="BJ33" s="40"/>
      <c r="BK33" s="41" t="s">
        <v>36</v>
      </c>
      <c r="BL33" s="41" t="s">
        <v>35</v>
      </c>
      <c r="BM33" s="41">
        <v>0.65</v>
      </c>
      <c r="BN33" s="41" t="s">
        <v>25</v>
      </c>
      <c r="BO33" s="41">
        <v>0.65</v>
      </c>
      <c r="BP33" s="41" t="s">
        <v>32</v>
      </c>
      <c r="BQ33" s="41">
        <v>98.2</v>
      </c>
      <c r="BR33" s="41">
        <v>103.7</v>
      </c>
      <c r="BS33" s="40">
        <f t="shared" si="27"/>
        <v>5.5</v>
      </c>
      <c r="BT33" s="41">
        <v>0.3</v>
      </c>
      <c r="BU33" s="40">
        <f t="shared" si="28"/>
        <v>5.600814664</v>
      </c>
      <c r="BV33" s="41">
        <v>89.0</v>
      </c>
      <c r="BW33" s="1"/>
      <c r="CL33" s="1"/>
      <c r="CM33" s="40"/>
      <c r="CN33" s="40"/>
      <c r="CO33" s="41" t="s">
        <v>135</v>
      </c>
      <c r="CP33" s="41" t="s">
        <v>40</v>
      </c>
      <c r="CQ33" s="41">
        <v>0.45</v>
      </c>
      <c r="CR33" s="41" t="s">
        <v>25</v>
      </c>
      <c r="CS33" s="41">
        <v>0.45</v>
      </c>
      <c r="CT33" s="41" t="s">
        <v>26</v>
      </c>
      <c r="CU33" s="41">
        <v>24.9</v>
      </c>
      <c r="CV33" s="41">
        <v>27.5</v>
      </c>
      <c r="CW33" s="40">
        <f t="shared" si="44"/>
        <v>2.6</v>
      </c>
      <c r="CX33" s="41">
        <v>0.9</v>
      </c>
      <c r="CY33" s="40">
        <f t="shared" si="45"/>
        <v>10.44176707</v>
      </c>
      <c r="CZ33" s="41">
        <v>73.0</v>
      </c>
      <c r="DA33" s="1"/>
      <c r="DB33" s="1"/>
      <c r="DC33" s="1"/>
      <c r="DD33" s="1"/>
      <c r="DE33" s="1"/>
      <c r="DF33" s="1"/>
    </row>
    <row r="34">
      <c r="A34" s="41">
        <v>14.0</v>
      </c>
      <c r="B34" s="40"/>
      <c r="C34" s="41" t="s">
        <v>52</v>
      </c>
      <c r="D34" s="41" t="s">
        <v>23</v>
      </c>
      <c r="E34" s="41" t="s">
        <v>24</v>
      </c>
      <c r="F34" s="41" t="s">
        <v>25</v>
      </c>
      <c r="G34" s="41" t="s">
        <v>24</v>
      </c>
      <c r="H34" s="41" t="s">
        <v>26</v>
      </c>
      <c r="I34" s="41">
        <v>105.1</v>
      </c>
      <c r="J34" s="41">
        <v>119.5</v>
      </c>
      <c r="K34" s="40">
        <f t="shared" si="29"/>
        <v>14.4</v>
      </c>
      <c r="L34" s="41">
        <v>1.1</v>
      </c>
      <c r="M34" s="40">
        <f t="shared" si="30"/>
        <v>13.70123692</v>
      </c>
      <c r="N34" s="41">
        <v>60.0</v>
      </c>
      <c r="O34" s="1"/>
      <c r="P34" s="40"/>
      <c r="Q34" s="40"/>
      <c r="R34" s="41" t="s">
        <v>99</v>
      </c>
      <c r="S34" s="52" t="s">
        <v>96</v>
      </c>
      <c r="T34" s="41" t="s">
        <v>89</v>
      </c>
      <c r="U34" s="41">
        <v>0.55</v>
      </c>
      <c r="V34" s="41" t="s">
        <v>90</v>
      </c>
      <c r="W34" s="41" t="s">
        <v>26</v>
      </c>
      <c r="X34" s="41">
        <v>64.7</v>
      </c>
      <c r="Y34" s="41">
        <v>84.9</v>
      </c>
      <c r="Z34" s="40">
        <f t="shared" si="42"/>
        <v>20.2</v>
      </c>
      <c r="AA34" s="41">
        <v>1.8</v>
      </c>
      <c r="AB34" s="40">
        <f t="shared" si="43"/>
        <v>31.22102009</v>
      </c>
      <c r="AC34" s="41">
        <v>238.0</v>
      </c>
      <c r="AD34" s="1"/>
      <c r="AE34" s="40"/>
      <c r="AF34" s="40"/>
      <c r="AG34" s="41" t="s">
        <v>169</v>
      </c>
      <c r="AH34" s="41" t="s">
        <v>31</v>
      </c>
      <c r="AI34" s="41">
        <v>0.1</v>
      </c>
      <c r="AJ34" s="41">
        <v>0.3</v>
      </c>
      <c r="AK34" s="41">
        <v>0.4</v>
      </c>
      <c r="AL34" s="41" t="s">
        <v>32</v>
      </c>
      <c r="AM34" s="40"/>
      <c r="AN34" s="41">
        <v>71.6</v>
      </c>
      <c r="AO34" s="41" t="s">
        <v>25</v>
      </c>
      <c r="AP34" s="41" t="s">
        <v>25</v>
      </c>
      <c r="AQ34" s="40"/>
      <c r="AR34" s="41">
        <v>220.0</v>
      </c>
      <c r="AS34" s="1"/>
      <c r="AT34" s="40"/>
      <c r="AU34" s="40"/>
      <c r="AV34" s="41" t="s">
        <v>39</v>
      </c>
      <c r="AW34" s="41" t="s">
        <v>140</v>
      </c>
      <c r="AX34" s="41" t="s">
        <v>147</v>
      </c>
      <c r="AY34" s="41" t="s">
        <v>142</v>
      </c>
      <c r="AZ34" s="41">
        <v>0.5</v>
      </c>
      <c r="BA34" s="41" t="s">
        <v>32</v>
      </c>
      <c r="BB34" s="41">
        <v>53.8</v>
      </c>
      <c r="BC34" s="41">
        <v>58.2</v>
      </c>
      <c r="BD34" s="40">
        <f t="shared" si="37"/>
        <v>4.4</v>
      </c>
      <c r="BE34" s="41">
        <v>1.2</v>
      </c>
      <c r="BF34" s="40">
        <f t="shared" si="38"/>
        <v>8.178438662</v>
      </c>
      <c r="BG34" s="41">
        <v>127.0</v>
      </c>
      <c r="BH34" s="1"/>
      <c r="BI34" s="40"/>
      <c r="BJ34" s="40"/>
      <c r="BK34" s="41" t="s">
        <v>63</v>
      </c>
      <c r="BL34" s="41" t="s">
        <v>35</v>
      </c>
      <c r="BM34" s="41">
        <v>0.65</v>
      </c>
      <c r="BN34" s="41" t="s">
        <v>25</v>
      </c>
      <c r="BO34" s="41">
        <v>0.65</v>
      </c>
      <c r="BP34" s="41" t="s">
        <v>26</v>
      </c>
      <c r="BQ34" s="41" t="s">
        <v>25</v>
      </c>
      <c r="BR34" s="41">
        <v>112.3</v>
      </c>
      <c r="BS34" s="40" t="str">
        <f t="shared" si="27"/>
        <v>#VALUE!</v>
      </c>
      <c r="BT34" s="41" t="s">
        <v>25</v>
      </c>
      <c r="BU34" s="40" t="str">
        <f t="shared" si="28"/>
        <v>#VALUE!</v>
      </c>
      <c r="BV34" s="41">
        <v>90.0</v>
      </c>
      <c r="BW34" s="1"/>
      <c r="BX34" s="38" t="s">
        <v>170</v>
      </c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5"/>
      <c r="CL34" s="1"/>
      <c r="CM34" s="40"/>
      <c r="CN34" s="40"/>
      <c r="CO34" s="41" t="s">
        <v>58</v>
      </c>
      <c r="CP34" s="41" t="s">
        <v>171</v>
      </c>
      <c r="CQ34" s="41">
        <v>0.45</v>
      </c>
      <c r="CR34" s="41" t="s">
        <v>25</v>
      </c>
      <c r="CS34" s="41">
        <v>0.45</v>
      </c>
      <c r="CT34" s="41" t="s">
        <v>26</v>
      </c>
      <c r="CU34" s="41">
        <v>25.3</v>
      </c>
      <c r="CV34" s="41">
        <v>28.0</v>
      </c>
      <c r="CW34" s="40">
        <f t="shared" si="44"/>
        <v>2.7</v>
      </c>
      <c r="CX34" s="41">
        <v>0.6</v>
      </c>
      <c r="CY34" s="40">
        <f t="shared" si="45"/>
        <v>10.67193676</v>
      </c>
      <c r="CZ34" s="41">
        <v>73.0</v>
      </c>
      <c r="DA34" s="1"/>
      <c r="DB34" s="1"/>
      <c r="DC34" s="1"/>
      <c r="DD34" s="1"/>
      <c r="DE34" s="1"/>
      <c r="DF34" s="1"/>
    </row>
    <row r="35">
      <c r="A35" s="41">
        <v>15.0</v>
      </c>
      <c r="B35" s="40"/>
      <c r="C35" s="41" t="s">
        <v>172</v>
      </c>
      <c r="D35" s="41" t="s">
        <v>23</v>
      </c>
      <c r="E35" s="41" t="s">
        <v>24</v>
      </c>
      <c r="F35" s="41" t="s">
        <v>25</v>
      </c>
      <c r="G35" s="41" t="s">
        <v>24</v>
      </c>
      <c r="H35" s="41" t="s">
        <v>26</v>
      </c>
      <c r="I35" s="41">
        <v>1839.8</v>
      </c>
      <c r="J35" s="41">
        <v>1943.6</v>
      </c>
      <c r="K35" s="40">
        <f t="shared" si="29"/>
        <v>103.8</v>
      </c>
      <c r="L35" s="41">
        <v>13.4</v>
      </c>
      <c r="M35" s="40">
        <f t="shared" si="30"/>
        <v>5.6419176</v>
      </c>
      <c r="N35" s="41">
        <v>61.0</v>
      </c>
      <c r="O35" s="1"/>
      <c r="P35" s="47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1"/>
      <c r="AE35" s="40"/>
      <c r="AF35" s="40"/>
      <c r="AG35" s="41" t="s">
        <v>173</v>
      </c>
      <c r="AH35" s="41" t="s">
        <v>31</v>
      </c>
      <c r="AI35" s="41">
        <v>0.1</v>
      </c>
      <c r="AJ35" s="41">
        <v>0.3</v>
      </c>
      <c r="AK35" s="41">
        <v>0.4</v>
      </c>
      <c r="AL35" s="41" t="s">
        <v>32</v>
      </c>
      <c r="AM35" s="41">
        <v>52.55</v>
      </c>
      <c r="AN35" s="41">
        <v>56.1</v>
      </c>
      <c r="AO35" s="41">
        <f>AN35-AM35</f>
        <v>3.55</v>
      </c>
      <c r="AP35" s="41">
        <v>2.25</v>
      </c>
      <c r="AQ35" s="40">
        <f t="shared" ref="AQ35:AQ37" si="46">AN35*100/AM35-100</f>
        <v>6.75547098</v>
      </c>
      <c r="AR35" s="41">
        <v>220.0</v>
      </c>
      <c r="AS35" s="1"/>
      <c r="AT35" s="40"/>
      <c r="AU35" s="40"/>
      <c r="AV35" s="41" t="s">
        <v>39</v>
      </c>
      <c r="AW35" s="41" t="s">
        <v>68</v>
      </c>
      <c r="AX35" s="41">
        <v>0.4</v>
      </c>
      <c r="AY35" s="41" t="s">
        <v>25</v>
      </c>
      <c r="AZ35" s="41">
        <v>0.4</v>
      </c>
      <c r="BA35" s="41" t="s">
        <v>32</v>
      </c>
      <c r="BB35" s="41">
        <v>202.1</v>
      </c>
      <c r="BC35" s="41">
        <v>213.8</v>
      </c>
      <c r="BD35" s="40">
        <f t="shared" si="37"/>
        <v>11.7</v>
      </c>
      <c r="BE35" s="41">
        <v>2.6</v>
      </c>
      <c r="BF35" s="40">
        <f t="shared" si="38"/>
        <v>5.789213261</v>
      </c>
      <c r="BG35" s="41">
        <v>134.0</v>
      </c>
      <c r="BH35" s="1"/>
      <c r="BI35" s="40"/>
      <c r="BJ35" s="40"/>
      <c r="BK35" s="41" t="s">
        <v>174</v>
      </c>
      <c r="BL35" s="41" t="s">
        <v>35</v>
      </c>
      <c r="BM35" s="41">
        <v>0.65</v>
      </c>
      <c r="BN35" s="41" t="s">
        <v>25</v>
      </c>
      <c r="BO35" s="41">
        <v>0.65</v>
      </c>
      <c r="BP35" s="41" t="s">
        <v>26</v>
      </c>
      <c r="BQ35" s="41">
        <v>108.1</v>
      </c>
      <c r="BR35" s="41">
        <v>119.7</v>
      </c>
      <c r="BS35" s="40">
        <f t="shared" si="27"/>
        <v>11.6</v>
      </c>
      <c r="BT35" s="41">
        <v>0.9</v>
      </c>
      <c r="BU35" s="40">
        <f t="shared" si="28"/>
        <v>10.73080481</v>
      </c>
      <c r="BV35" s="41">
        <v>104.0</v>
      </c>
      <c r="BW35" s="1"/>
      <c r="BX35" s="40"/>
      <c r="BY35" s="40"/>
      <c r="BZ35" s="41" t="s">
        <v>108</v>
      </c>
      <c r="CA35" s="41" t="s">
        <v>37</v>
      </c>
      <c r="CB35" s="41">
        <v>0.2</v>
      </c>
      <c r="CC35" s="41">
        <v>0.550000000000002</v>
      </c>
      <c r="CD35" s="41">
        <v>0.75</v>
      </c>
      <c r="CE35" s="41" t="s">
        <v>32</v>
      </c>
      <c r="CF35" s="41">
        <v>59.9</v>
      </c>
      <c r="CG35" s="41">
        <v>62.7</v>
      </c>
      <c r="CH35" s="40">
        <f t="shared" ref="CH35:CH43" si="47">CG35-CF35</f>
        <v>2.8</v>
      </c>
      <c r="CI35" s="41">
        <v>0.7</v>
      </c>
      <c r="CJ35" s="42">
        <f t="shared" ref="CJ35:CJ43" si="48">CG35*100/CF35-100</f>
        <v>4.674457429</v>
      </c>
      <c r="CK35" s="41">
        <v>159.0</v>
      </c>
      <c r="CL35" s="1"/>
      <c r="CM35" s="40"/>
      <c r="CN35" s="40"/>
      <c r="CO35" s="41" t="s">
        <v>175</v>
      </c>
      <c r="CP35" s="41" t="s">
        <v>85</v>
      </c>
      <c r="CQ35" s="41">
        <v>0.35</v>
      </c>
      <c r="CR35" s="41" t="s">
        <v>25</v>
      </c>
      <c r="CS35" s="41">
        <v>0.35</v>
      </c>
      <c r="CT35" s="41" t="s">
        <v>26</v>
      </c>
      <c r="CU35" s="41">
        <v>25.2</v>
      </c>
      <c r="CV35" s="41">
        <v>27.6</v>
      </c>
      <c r="CW35" s="40">
        <f t="shared" si="44"/>
        <v>2.4</v>
      </c>
      <c r="CX35" s="41" t="s">
        <v>25</v>
      </c>
      <c r="CY35" s="40">
        <f t="shared" si="45"/>
        <v>9.523809524</v>
      </c>
      <c r="CZ35" s="41">
        <v>73.0</v>
      </c>
      <c r="DA35" s="1"/>
      <c r="DB35" s="1"/>
      <c r="DC35" s="1"/>
      <c r="DD35" s="1"/>
      <c r="DE35" s="1"/>
      <c r="DF35" s="1"/>
    </row>
    <row r="36">
      <c r="A36" s="41">
        <v>16.0</v>
      </c>
      <c r="B36" s="40"/>
      <c r="C36" s="41" t="s">
        <v>176</v>
      </c>
      <c r="D36" s="41" t="s">
        <v>23</v>
      </c>
      <c r="E36" s="41" t="s">
        <v>24</v>
      </c>
      <c r="F36" s="41" t="s">
        <v>25</v>
      </c>
      <c r="G36" s="41" t="s">
        <v>24</v>
      </c>
      <c r="H36" s="41" t="s">
        <v>26</v>
      </c>
      <c r="I36" s="41">
        <v>170.7</v>
      </c>
      <c r="J36" s="41">
        <v>181.7</v>
      </c>
      <c r="K36" s="40">
        <f t="shared" si="29"/>
        <v>11</v>
      </c>
      <c r="L36" s="41">
        <v>5.8</v>
      </c>
      <c r="M36" s="40">
        <f t="shared" si="30"/>
        <v>6.444053896</v>
      </c>
      <c r="N36" s="41">
        <v>69.0</v>
      </c>
      <c r="O36" s="1"/>
      <c r="P36" s="51" t="s">
        <v>177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1"/>
      <c r="AE36" s="40"/>
      <c r="AF36" s="40"/>
      <c r="AG36" s="41" t="s">
        <v>178</v>
      </c>
      <c r="AH36" s="41" t="s">
        <v>31</v>
      </c>
      <c r="AI36" s="41">
        <v>0.1</v>
      </c>
      <c r="AJ36" s="41">
        <v>0.3</v>
      </c>
      <c r="AK36" s="41">
        <v>0.4</v>
      </c>
      <c r="AL36" s="41" t="s">
        <v>32</v>
      </c>
      <c r="AM36" s="41">
        <v>144.7</v>
      </c>
      <c r="AN36" s="41">
        <v>154.1</v>
      </c>
      <c r="AO36" s="41">
        <v>2.25</v>
      </c>
      <c r="AP36" s="41">
        <v>10.25</v>
      </c>
      <c r="AQ36" s="40">
        <f t="shared" si="46"/>
        <v>6.496199032</v>
      </c>
      <c r="AR36" s="41">
        <v>237.0</v>
      </c>
      <c r="AS36" s="1"/>
      <c r="AT36" s="40"/>
      <c r="AU36" s="40"/>
      <c r="AV36" s="41" t="s">
        <v>179</v>
      </c>
      <c r="AW36" s="41" t="s">
        <v>140</v>
      </c>
      <c r="AX36" s="41" t="s">
        <v>141</v>
      </c>
      <c r="AY36" s="41" t="s">
        <v>142</v>
      </c>
      <c r="AZ36" s="41">
        <v>0.5</v>
      </c>
      <c r="BA36" s="41" t="s">
        <v>32</v>
      </c>
      <c r="BB36" s="41">
        <v>101.3</v>
      </c>
      <c r="BC36" s="41">
        <v>106.7</v>
      </c>
      <c r="BD36" s="40">
        <f t="shared" si="37"/>
        <v>5.4</v>
      </c>
      <c r="BE36" s="41">
        <v>0.9</v>
      </c>
      <c r="BF36" s="40">
        <f t="shared" si="38"/>
        <v>5.330700888</v>
      </c>
      <c r="BG36" s="41">
        <v>134.0</v>
      </c>
      <c r="BH36" s="1"/>
      <c r="BI36" s="40"/>
      <c r="BJ36" s="40"/>
      <c r="BK36" s="41" t="s">
        <v>180</v>
      </c>
      <c r="BL36" s="41" t="s">
        <v>35</v>
      </c>
      <c r="BM36" s="41">
        <v>0.65</v>
      </c>
      <c r="BN36" s="41" t="s">
        <v>25</v>
      </c>
      <c r="BO36" s="41">
        <v>0.65</v>
      </c>
      <c r="BP36" s="41" t="s">
        <v>26</v>
      </c>
      <c r="BQ36" s="41">
        <v>72.65</v>
      </c>
      <c r="BR36" s="41">
        <v>78.2</v>
      </c>
      <c r="BS36" s="40">
        <f t="shared" si="27"/>
        <v>5.55</v>
      </c>
      <c r="BT36" s="41">
        <v>1.15</v>
      </c>
      <c r="BU36" s="40">
        <f t="shared" si="28"/>
        <v>7.639366827</v>
      </c>
      <c r="BV36" s="41">
        <v>104.0</v>
      </c>
      <c r="BW36" s="1"/>
      <c r="BX36" s="40"/>
      <c r="BY36" s="40"/>
      <c r="BZ36" s="41" t="s">
        <v>51</v>
      </c>
      <c r="CA36" s="41" t="s">
        <v>37</v>
      </c>
      <c r="CB36" s="41">
        <v>0.2</v>
      </c>
      <c r="CC36" s="41">
        <v>0.550000000000002</v>
      </c>
      <c r="CD36" s="41">
        <v>0.75</v>
      </c>
      <c r="CE36" s="41" t="s">
        <v>32</v>
      </c>
      <c r="CF36" s="41">
        <v>65.0</v>
      </c>
      <c r="CG36" s="41">
        <v>68.4</v>
      </c>
      <c r="CH36" s="40">
        <f t="shared" si="47"/>
        <v>3.4</v>
      </c>
      <c r="CI36" s="41">
        <v>0.9</v>
      </c>
      <c r="CJ36" s="42">
        <f t="shared" si="48"/>
        <v>5.230769231</v>
      </c>
      <c r="CK36" s="41">
        <v>159.0</v>
      </c>
      <c r="CL36" s="1"/>
      <c r="CM36" s="40"/>
      <c r="CN36" s="40"/>
      <c r="CO36" s="41" t="s">
        <v>181</v>
      </c>
      <c r="CP36" s="41" t="s">
        <v>40</v>
      </c>
      <c r="CQ36" s="41">
        <v>0.45</v>
      </c>
      <c r="CR36" s="41" t="s">
        <v>25</v>
      </c>
      <c r="CS36" s="41">
        <v>0.45</v>
      </c>
      <c r="CT36" s="41" t="s">
        <v>26</v>
      </c>
      <c r="CU36" s="41">
        <v>25.2</v>
      </c>
      <c r="CV36" s="41">
        <v>30.6</v>
      </c>
      <c r="CW36" s="40">
        <f t="shared" si="44"/>
        <v>5.4</v>
      </c>
      <c r="CX36" s="41" t="s">
        <v>25</v>
      </c>
      <c r="CY36" s="58">
        <f t="shared" si="45"/>
        <v>21.42857143</v>
      </c>
      <c r="CZ36" s="41">
        <v>73.0</v>
      </c>
      <c r="DA36" s="1"/>
      <c r="DB36" s="1"/>
      <c r="DC36" s="1"/>
      <c r="DD36" s="1"/>
      <c r="DE36" s="1"/>
      <c r="DF36" s="1"/>
    </row>
    <row r="37">
      <c r="A37" s="4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/>
      <c r="O37" s="1"/>
      <c r="P37" s="41"/>
      <c r="Q37" s="40"/>
      <c r="R37" s="41" t="s">
        <v>102</v>
      </c>
      <c r="S37" s="59" t="s">
        <v>182</v>
      </c>
      <c r="T37" s="41">
        <v>0.35</v>
      </c>
      <c r="U37" s="41">
        <v>0.5</v>
      </c>
      <c r="V37" s="41">
        <v>0.85</v>
      </c>
      <c r="W37" s="41" t="s">
        <v>26</v>
      </c>
      <c r="X37" s="41">
        <v>152.8</v>
      </c>
      <c r="Y37" s="41">
        <v>176.7</v>
      </c>
      <c r="Z37" s="40">
        <f t="shared" ref="Z37:Z42" si="49">Y37-X37</f>
        <v>23.9</v>
      </c>
      <c r="AA37" s="41">
        <v>2.7</v>
      </c>
      <c r="AB37" s="40">
        <f t="shared" ref="AB37:AB42" si="50">Y37*100/X37-100</f>
        <v>15.64136126</v>
      </c>
      <c r="AC37" s="41">
        <v>252.0</v>
      </c>
      <c r="AD37" s="1"/>
      <c r="AE37" s="40"/>
      <c r="AF37" s="40"/>
      <c r="AG37" s="41" t="s">
        <v>183</v>
      </c>
      <c r="AH37" s="41" t="s">
        <v>31</v>
      </c>
      <c r="AI37" s="41">
        <v>0.1</v>
      </c>
      <c r="AJ37" s="41">
        <v>0.3</v>
      </c>
      <c r="AK37" s="41">
        <v>0.4</v>
      </c>
      <c r="AL37" s="41" t="s">
        <v>32</v>
      </c>
      <c r="AM37" s="41">
        <v>63.4</v>
      </c>
      <c r="AN37" s="41">
        <v>70.1</v>
      </c>
      <c r="AO37" s="40">
        <f>AN37-AM37</f>
        <v>6.7</v>
      </c>
      <c r="AP37" s="41">
        <v>13.8</v>
      </c>
      <c r="AQ37" s="40">
        <f t="shared" si="46"/>
        <v>10.56782334</v>
      </c>
      <c r="AR37" s="41">
        <v>240.0</v>
      </c>
      <c r="AS37" s="1"/>
      <c r="AT37" s="40"/>
      <c r="AU37" s="40"/>
      <c r="AV37" s="41" t="s">
        <v>184</v>
      </c>
      <c r="AW37" s="41" t="s">
        <v>68</v>
      </c>
      <c r="AX37" s="41">
        <v>0.4</v>
      </c>
      <c r="AY37" s="41" t="s">
        <v>25</v>
      </c>
      <c r="AZ37" s="41">
        <v>0.4</v>
      </c>
      <c r="BA37" s="41" t="s">
        <v>32</v>
      </c>
      <c r="BB37" s="41">
        <v>344.7</v>
      </c>
      <c r="BC37" s="41">
        <v>352.7</v>
      </c>
      <c r="BD37" s="40">
        <f t="shared" si="37"/>
        <v>8</v>
      </c>
      <c r="BE37" s="41">
        <v>4.3</v>
      </c>
      <c r="BF37" s="40">
        <f t="shared" si="38"/>
        <v>2.320858718</v>
      </c>
      <c r="BG37" s="41">
        <v>144.0</v>
      </c>
      <c r="BH37" s="1"/>
      <c r="BI37" s="40"/>
      <c r="BJ37" s="40"/>
      <c r="BK37" s="41" t="s">
        <v>185</v>
      </c>
      <c r="BL37" s="41" t="s">
        <v>35</v>
      </c>
      <c r="BM37" s="41">
        <v>0.65</v>
      </c>
      <c r="BN37" s="41" t="s">
        <v>25</v>
      </c>
      <c r="BO37" s="41">
        <v>0.65</v>
      </c>
      <c r="BP37" s="41" t="s">
        <v>26</v>
      </c>
      <c r="BQ37" s="41">
        <v>102.0</v>
      </c>
      <c r="BR37" s="41">
        <v>110.3</v>
      </c>
      <c r="BS37" s="40">
        <f t="shared" si="27"/>
        <v>8.3</v>
      </c>
      <c r="BT37" s="41">
        <v>15.2</v>
      </c>
      <c r="BU37" s="40">
        <f t="shared" si="28"/>
        <v>8.137254902</v>
      </c>
      <c r="BV37" s="41">
        <v>104.0</v>
      </c>
      <c r="BW37" s="1"/>
      <c r="BX37" s="40"/>
      <c r="BY37" s="40"/>
      <c r="BZ37" s="41" t="s">
        <v>108</v>
      </c>
      <c r="CA37" s="41" t="s">
        <v>37</v>
      </c>
      <c r="CB37" s="41">
        <v>0.2</v>
      </c>
      <c r="CC37" s="41">
        <v>0.550000000000002</v>
      </c>
      <c r="CD37" s="41">
        <v>0.75</v>
      </c>
      <c r="CE37" s="41" t="s">
        <v>32</v>
      </c>
      <c r="CF37" s="41">
        <v>57.3</v>
      </c>
      <c r="CG37" s="41">
        <v>61.1</v>
      </c>
      <c r="CH37" s="40">
        <f t="shared" si="47"/>
        <v>3.8</v>
      </c>
      <c r="CI37" s="41">
        <v>0.6</v>
      </c>
      <c r="CJ37" s="40">
        <f t="shared" si="48"/>
        <v>6.631762653</v>
      </c>
      <c r="CK37" s="41">
        <v>162.0</v>
      </c>
      <c r="CL37" s="1"/>
      <c r="CM37" s="40"/>
      <c r="CN37" s="40"/>
      <c r="CO37" s="41" t="s">
        <v>48</v>
      </c>
      <c r="CP37" s="41" t="s">
        <v>40</v>
      </c>
      <c r="CQ37" s="41">
        <v>0.45</v>
      </c>
      <c r="CR37" s="41" t="s">
        <v>25</v>
      </c>
      <c r="CS37" s="41">
        <v>0.45</v>
      </c>
      <c r="CT37" s="41" t="s">
        <v>26</v>
      </c>
      <c r="CU37" s="41">
        <v>25.5</v>
      </c>
      <c r="CV37" s="41">
        <v>28.1</v>
      </c>
      <c r="CW37" s="40">
        <f t="shared" si="44"/>
        <v>2.6</v>
      </c>
      <c r="CX37" s="41">
        <v>0.3</v>
      </c>
      <c r="CY37" s="40">
        <f t="shared" si="45"/>
        <v>10.19607843</v>
      </c>
      <c r="CZ37" s="41">
        <v>73.0</v>
      </c>
      <c r="DA37" s="1"/>
      <c r="DB37" s="1"/>
      <c r="DC37" s="1"/>
      <c r="DD37" s="1"/>
      <c r="DE37" s="1"/>
      <c r="DF37" s="1"/>
    </row>
    <row r="38">
      <c r="A38" s="60" t="s">
        <v>186</v>
      </c>
      <c r="O38" s="1"/>
      <c r="P38" s="41"/>
      <c r="Q38" s="40"/>
      <c r="R38" s="41" t="s">
        <v>120</v>
      </c>
      <c r="S38" s="59" t="s">
        <v>182</v>
      </c>
      <c r="T38" s="41">
        <v>0.35</v>
      </c>
      <c r="U38" s="41">
        <v>0.5</v>
      </c>
      <c r="V38" s="41">
        <v>0.85</v>
      </c>
      <c r="W38" s="41" t="s">
        <v>32</v>
      </c>
      <c r="X38" s="41">
        <v>166.2</v>
      </c>
      <c r="Y38" s="41">
        <v>188.2</v>
      </c>
      <c r="Z38" s="40">
        <f t="shared" si="49"/>
        <v>22</v>
      </c>
      <c r="AA38" s="41">
        <v>1.7</v>
      </c>
      <c r="AB38" s="40">
        <f t="shared" si="50"/>
        <v>13.23706378</v>
      </c>
      <c r="AC38" s="41">
        <v>278.0</v>
      </c>
      <c r="AD38" s="1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1"/>
      <c r="AT38" s="40"/>
      <c r="AU38" s="40"/>
      <c r="AV38" s="41" t="s">
        <v>187</v>
      </c>
      <c r="AW38" s="41" t="s">
        <v>140</v>
      </c>
      <c r="AX38" s="41" t="s">
        <v>147</v>
      </c>
      <c r="AY38" s="41" t="s">
        <v>142</v>
      </c>
      <c r="AZ38" s="41">
        <v>0.5</v>
      </c>
      <c r="BA38" s="41" t="s">
        <v>32</v>
      </c>
      <c r="BB38" s="41">
        <v>83.8</v>
      </c>
      <c r="BC38" s="41">
        <v>85.9</v>
      </c>
      <c r="BD38" s="40">
        <f t="shared" si="37"/>
        <v>2.1</v>
      </c>
      <c r="BE38" s="41">
        <v>4.2</v>
      </c>
      <c r="BF38" s="40">
        <f t="shared" si="38"/>
        <v>2.505966587</v>
      </c>
      <c r="BG38" s="41">
        <v>145.0</v>
      </c>
      <c r="BH38" s="1"/>
      <c r="BI38" s="40"/>
      <c r="BJ38" s="40"/>
      <c r="BK38" s="41" t="s">
        <v>50</v>
      </c>
      <c r="BL38" s="41" t="s">
        <v>35</v>
      </c>
      <c r="BM38" s="41">
        <v>0.65</v>
      </c>
      <c r="BN38" s="41" t="s">
        <v>25</v>
      </c>
      <c r="BO38" s="41">
        <v>0.65</v>
      </c>
      <c r="BP38" s="41" t="s">
        <v>26</v>
      </c>
      <c r="BQ38" s="41">
        <v>195.5</v>
      </c>
      <c r="BR38" s="41">
        <v>225.9</v>
      </c>
      <c r="BS38" s="40">
        <f t="shared" si="27"/>
        <v>30.4</v>
      </c>
      <c r="BT38" s="41">
        <v>1.7</v>
      </c>
      <c r="BU38" s="40">
        <f t="shared" si="28"/>
        <v>15.54987212</v>
      </c>
      <c r="BV38" s="41" t="s">
        <v>188</v>
      </c>
      <c r="BW38" s="1"/>
      <c r="BX38" s="40"/>
      <c r="BY38" s="40"/>
      <c r="BZ38" s="41" t="s">
        <v>51</v>
      </c>
      <c r="CA38" s="41" t="s">
        <v>37</v>
      </c>
      <c r="CB38" s="41">
        <v>0.2</v>
      </c>
      <c r="CC38" s="41">
        <v>0.550000000000002</v>
      </c>
      <c r="CD38" s="41">
        <v>0.75</v>
      </c>
      <c r="CE38" s="41" t="s">
        <v>32</v>
      </c>
      <c r="CF38" s="41">
        <v>61.1</v>
      </c>
      <c r="CG38" s="41">
        <v>65.6</v>
      </c>
      <c r="CH38" s="40">
        <f t="shared" si="47"/>
        <v>4.5</v>
      </c>
      <c r="CI38" s="41">
        <v>0.9</v>
      </c>
      <c r="CJ38" s="40">
        <f t="shared" si="48"/>
        <v>7.36497545</v>
      </c>
      <c r="CK38" s="41">
        <v>162.0</v>
      </c>
      <c r="CL38" s="1"/>
      <c r="CM38" s="40"/>
      <c r="CN38" s="40"/>
      <c r="CO38" s="41" t="s">
        <v>64</v>
      </c>
      <c r="CP38" s="41" t="s">
        <v>40</v>
      </c>
      <c r="CQ38" s="41">
        <v>0.45</v>
      </c>
      <c r="CR38" s="41" t="s">
        <v>25</v>
      </c>
      <c r="CS38" s="41">
        <v>0.45</v>
      </c>
      <c r="CT38" s="41" t="s">
        <v>26</v>
      </c>
      <c r="CU38" s="41" t="s">
        <v>25</v>
      </c>
      <c r="CV38" s="41">
        <v>57.2</v>
      </c>
      <c r="CW38" s="40" t="str">
        <f t="shared" si="44"/>
        <v>#VALUE!</v>
      </c>
      <c r="CX38" s="41" t="s">
        <v>25</v>
      </c>
      <c r="CY38" s="40" t="str">
        <f t="shared" si="45"/>
        <v>#VALUE!</v>
      </c>
      <c r="CZ38" s="41">
        <v>73.0</v>
      </c>
      <c r="DA38" s="1"/>
      <c r="DB38" s="1"/>
      <c r="DC38" s="1"/>
      <c r="DD38" s="1"/>
      <c r="DE38" s="1"/>
      <c r="DF38" s="1"/>
    </row>
    <row r="39">
      <c r="A39" s="40"/>
      <c r="B39" s="40"/>
      <c r="C39" s="41" t="s">
        <v>77</v>
      </c>
      <c r="D39" s="41" t="s">
        <v>23</v>
      </c>
      <c r="E39" s="41" t="s">
        <v>24</v>
      </c>
      <c r="F39" s="41" t="s">
        <v>25</v>
      </c>
      <c r="G39" s="41" t="s">
        <v>24</v>
      </c>
      <c r="H39" s="41" t="s">
        <v>26</v>
      </c>
      <c r="I39" s="41">
        <v>477.7</v>
      </c>
      <c r="J39" s="41">
        <v>551.2</v>
      </c>
      <c r="K39" s="40">
        <f t="shared" ref="K39:K54" si="51">J39-I39</f>
        <v>73.5</v>
      </c>
      <c r="L39" s="41">
        <v>2.85</v>
      </c>
      <c r="M39" s="40">
        <f t="shared" ref="M39:M54" si="52">J39*100/I39-100</f>
        <v>15.38622566</v>
      </c>
      <c r="N39" s="41">
        <v>74.0</v>
      </c>
      <c r="O39" s="1"/>
      <c r="P39" s="41"/>
      <c r="Q39" s="40"/>
      <c r="R39" s="41" t="s">
        <v>189</v>
      </c>
      <c r="S39" s="59" t="s">
        <v>43</v>
      </c>
      <c r="T39" s="41">
        <v>0.35</v>
      </c>
      <c r="U39" s="41">
        <v>0.5</v>
      </c>
      <c r="V39" s="41">
        <v>0.85</v>
      </c>
      <c r="W39" s="41" t="s">
        <v>32</v>
      </c>
      <c r="X39" s="41">
        <v>208.5</v>
      </c>
      <c r="Y39" s="41">
        <v>227.2</v>
      </c>
      <c r="Z39" s="40">
        <f t="shared" si="49"/>
        <v>18.7</v>
      </c>
      <c r="AA39" s="41">
        <v>1.5</v>
      </c>
      <c r="AB39" s="40">
        <f t="shared" si="50"/>
        <v>8.96882494</v>
      </c>
      <c r="AC39" s="41">
        <v>278.0</v>
      </c>
      <c r="AD39" s="1"/>
      <c r="AE39" s="47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5"/>
      <c r="AS39" s="1"/>
      <c r="AT39" s="40"/>
      <c r="AU39" s="40"/>
      <c r="AV39" s="41" t="s">
        <v>190</v>
      </c>
      <c r="AW39" s="41" t="s">
        <v>140</v>
      </c>
      <c r="AX39" s="41" t="s">
        <v>141</v>
      </c>
      <c r="AY39" s="41" t="s">
        <v>142</v>
      </c>
      <c r="AZ39" s="41">
        <v>0.5</v>
      </c>
      <c r="BA39" s="41" t="s">
        <v>32</v>
      </c>
      <c r="BB39" s="41">
        <v>80.5</v>
      </c>
      <c r="BC39" s="41">
        <v>83.3</v>
      </c>
      <c r="BD39" s="40">
        <f t="shared" si="37"/>
        <v>2.8</v>
      </c>
      <c r="BE39" s="41">
        <v>0.7</v>
      </c>
      <c r="BF39" s="40">
        <f t="shared" si="38"/>
        <v>3.47826087</v>
      </c>
      <c r="BG39" s="41">
        <v>145.0</v>
      </c>
      <c r="BH39" s="1"/>
      <c r="BI39" s="40"/>
      <c r="BJ39" s="40"/>
      <c r="BK39" s="41" t="s">
        <v>191</v>
      </c>
      <c r="BL39" s="41" t="s">
        <v>35</v>
      </c>
      <c r="BM39" s="41">
        <v>0.65</v>
      </c>
      <c r="BN39" s="41" t="s">
        <v>25</v>
      </c>
      <c r="BO39" s="41">
        <v>0.65</v>
      </c>
      <c r="BP39" s="41" t="s">
        <v>26</v>
      </c>
      <c r="BQ39" s="41">
        <v>180.2</v>
      </c>
      <c r="BR39" s="41">
        <v>215.9</v>
      </c>
      <c r="BS39" s="40">
        <f t="shared" si="27"/>
        <v>35.7</v>
      </c>
      <c r="BT39" s="41" t="s">
        <v>25</v>
      </c>
      <c r="BU39" s="42">
        <f t="shared" si="28"/>
        <v>19.81132075</v>
      </c>
      <c r="BV39" s="41">
        <v>105.0</v>
      </c>
      <c r="BW39" s="1"/>
      <c r="BX39" s="40"/>
      <c r="BY39" s="40"/>
      <c r="BZ39" s="41" t="s">
        <v>51</v>
      </c>
      <c r="CA39" s="41" t="s">
        <v>37</v>
      </c>
      <c r="CB39" s="41">
        <v>0.2</v>
      </c>
      <c r="CC39" s="41">
        <v>0.550000000000002</v>
      </c>
      <c r="CD39" s="41">
        <v>0.75</v>
      </c>
      <c r="CE39" s="41" t="s">
        <v>32</v>
      </c>
      <c r="CF39" s="41">
        <v>115.2</v>
      </c>
      <c r="CG39" s="41">
        <v>122.7</v>
      </c>
      <c r="CH39" s="40">
        <f t="shared" si="47"/>
        <v>7.5</v>
      </c>
      <c r="CI39" s="41">
        <v>1.2</v>
      </c>
      <c r="CJ39" s="40">
        <f t="shared" si="48"/>
        <v>6.510416667</v>
      </c>
      <c r="CK39" s="41">
        <v>183.0</v>
      </c>
      <c r="CL39" s="1"/>
      <c r="CM39" s="40"/>
      <c r="CN39" s="40"/>
      <c r="CO39" s="41" t="s">
        <v>192</v>
      </c>
      <c r="CP39" s="41" t="s">
        <v>85</v>
      </c>
      <c r="CQ39" s="41">
        <v>0.45</v>
      </c>
      <c r="CR39" s="41" t="s">
        <v>25</v>
      </c>
      <c r="CS39" s="41">
        <v>0.45</v>
      </c>
      <c r="CT39" s="41" t="s">
        <v>26</v>
      </c>
      <c r="CU39" s="41">
        <v>24.0</v>
      </c>
      <c r="CV39" s="41">
        <v>25.8</v>
      </c>
      <c r="CW39" s="40">
        <f t="shared" si="44"/>
        <v>1.8</v>
      </c>
      <c r="CX39" s="41" t="s">
        <v>25</v>
      </c>
      <c r="CY39" s="42">
        <f t="shared" si="45"/>
        <v>7.5</v>
      </c>
      <c r="CZ39" s="41">
        <v>73.0</v>
      </c>
      <c r="DA39" s="1"/>
      <c r="DB39" s="1"/>
      <c r="DC39" s="1"/>
      <c r="DD39" s="1"/>
      <c r="DE39" s="1"/>
      <c r="DF39" s="1"/>
    </row>
    <row r="40">
      <c r="A40" s="40"/>
      <c r="B40" s="40"/>
      <c r="C40" s="41" t="s">
        <v>193</v>
      </c>
      <c r="D40" s="41" t="s">
        <v>23</v>
      </c>
      <c r="E40" s="41" t="s">
        <v>24</v>
      </c>
      <c r="F40" s="41" t="s">
        <v>25</v>
      </c>
      <c r="G40" s="41" t="s">
        <v>24</v>
      </c>
      <c r="H40" s="41" t="s">
        <v>26</v>
      </c>
      <c r="I40" s="41">
        <v>133.1</v>
      </c>
      <c r="J40" s="41">
        <v>144.3</v>
      </c>
      <c r="K40" s="40">
        <f t="shared" si="51"/>
        <v>11.2</v>
      </c>
      <c r="L40" s="41">
        <v>1.3</v>
      </c>
      <c r="M40" s="40">
        <f t="shared" si="52"/>
        <v>8.41472577</v>
      </c>
      <c r="N40" s="41">
        <v>76.0</v>
      </c>
      <c r="O40" s="1"/>
      <c r="P40" s="41"/>
      <c r="Q40" s="40"/>
      <c r="R40" s="41" t="s">
        <v>77</v>
      </c>
      <c r="S40" s="59" t="s">
        <v>43</v>
      </c>
      <c r="T40" s="41">
        <v>0.35</v>
      </c>
      <c r="U40" s="41">
        <v>0.5</v>
      </c>
      <c r="V40" s="41">
        <v>0.85</v>
      </c>
      <c r="W40" s="41" t="s">
        <v>32</v>
      </c>
      <c r="X40" s="41">
        <v>295.5</v>
      </c>
      <c r="Y40" s="41">
        <v>316.9</v>
      </c>
      <c r="Z40" s="40">
        <f t="shared" si="49"/>
        <v>21.4</v>
      </c>
      <c r="AA40" s="41">
        <v>2.2</v>
      </c>
      <c r="AB40" s="40">
        <f t="shared" si="50"/>
        <v>7.241962775</v>
      </c>
      <c r="AC40" s="41">
        <v>278.0</v>
      </c>
      <c r="AD40" s="1"/>
      <c r="AE40" s="61" t="s">
        <v>194</v>
      </c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1"/>
      <c r="AS40" s="1"/>
      <c r="AT40" s="40"/>
      <c r="AU40" s="40"/>
      <c r="AV40" s="41" t="s">
        <v>195</v>
      </c>
      <c r="AW40" s="41" t="s">
        <v>68</v>
      </c>
      <c r="AX40" s="41">
        <v>0.35</v>
      </c>
      <c r="AY40" s="41" t="s">
        <v>25</v>
      </c>
      <c r="AZ40" s="41">
        <v>0.35</v>
      </c>
      <c r="BA40" s="41" t="s">
        <v>32</v>
      </c>
      <c r="BB40" s="41">
        <v>164.0</v>
      </c>
      <c r="BC40" s="41">
        <v>172.9</v>
      </c>
      <c r="BD40" s="40">
        <f t="shared" si="37"/>
        <v>8.9</v>
      </c>
      <c r="BE40" s="41">
        <v>3.0</v>
      </c>
      <c r="BF40" s="40">
        <f t="shared" si="38"/>
        <v>5.426829268</v>
      </c>
      <c r="BG40" s="41">
        <v>146.0</v>
      </c>
      <c r="BH40" s="1"/>
      <c r="BI40" s="1"/>
      <c r="BW40" s="1"/>
      <c r="BX40" s="40"/>
      <c r="BY40" s="40"/>
      <c r="BZ40" s="41" t="s">
        <v>93</v>
      </c>
      <c r="CA40" s="41" t="s">
        <v>37</v>
      </c>
      <c r="CB40" s="41">
        <v>0.2</v>
      </c>
      <c r="CC40" s="41">
        <v>0.550000000000002</v>
      </c>
      <c r="CD40" s="41">
        <v>0.75</v>
      </c>
      <c r="CE40" s="41" t="s">
        <v>32</v>
      </c>
      <c r="CF40" s="41" t="s">
        <v>25</v>
      </c>
      <c r="CG40" s="41">
        <v>60.8</v>
      </c>
      <c r="CH40" s="40" t="str">
        <f t="shared" si="47"/>
        <v>#VALUE!</v>
      </c>
      <c r="CI40" s="41" t="s">
        <v>25</v>
      </c>
      <c r="CJ40" s="40" t="str">
        <f t="shared" si="48"/>
        <v>#VALUE!</v>
      </c>
      <c r="CK40" s="41">
        <v>183.0</v>
      </c>
      <c r="CL40" s="1"/>
      <c r="CM40" s="40"/>
      <c r="CN40" s="40"/>
      <c r="CO40" s="41" t="s">
        <v>196</v>
      </c>
      <c r="CP40" s="41" t="s">
        <v>40</v>
      </c>
      <c r="CQ40" s="41">
        <v>0.45</v>
      </c>
      <c r="CR40" s="41" t="s">
        <v>25</v>
      </c>
      <c r="CS40" s="41">
        <v>0.45</v>
      </c>
      <c r="CT40" s="41" t="s">
        <v>26</v>
      </c>
      <c r="CU40" s="41">
        <v>24.7</v>
      </c>
      <c r="CV40" s="41">
        <v>27.5</v>
      </c>
      <c r="CW40" s="40">
        <f t="shared" si="44"/>
        <v>2.8</v>
      </c>
      <c r="CX40" s="41">
        <v>0.2</v>
      </c>
      <c r="CY40" s="40">
        <f t="shared" si="45"/>
        <v>11.33603239</v>
      </c>
      <c r="CZ40" s="41">
        <v>73.0</v>
      </c>
      <c r="DA40" s="1"/>
      <c r="DB40" s="1"/>
      <c r="DC40" s="1"/>
      <c r="DD40" s="1"/>
      <c r="DE40" s="1"/>
      <c r="DF40" s="1"/>
    </row>
    <row r="41">
      <c r="A41" s="40"/>
      <c r="B41" s="40"/>
      <c r="C41" s="41" t="s">
        <v>197</v>
      </c>
      <c r="D41" s="41" t="s">
        <v>23</v>
      </c>
      <c r="E41" s="41" t="s">
        <v>24</v>
      </c>
      <c r="F41" s="41" t="s">
        <v>25</v>
      </c>
      <c r="G41" s="41" t="s">
        <v>24</v>
      </c>
      <c r="H41" s="41" t="s">
        <v>26</v>
      </c>
      <c r="I41" s="41">
        <v>131.0</v>
      </c>
      <c r="J41" s="41">
        <v>139.6</v>
      </c>
      <c r="K41" s="40">
        <f t="shared" si="51"/>
        <v>8.6</v>
      </c>
      <c r="L41" s="41">
        <v>1.8</v>
      </c>
      <c r="M41" s="40">
        <f t="shared" si="52"/>
        <v>6.564885496</v>
      </c>
      <c r="N41" s="41">
        <v>76.0</v>
      </c>
      <c r="O41" s="1"/>
      <c r="P41" s="41"/>
      <c r="Q41" s="40"/>
      <c r="R41" s="41" t="s">
        <v>99</v>
      </c>
      <c r="S41" s="59" t="s">
        <v>43</v>
      </c>
      <c r="T41" s="41">
        <v>0.35</v>
      </c>
      <c r="U41" s="41">
        <v>0.5</v>
      </c>
      <c r="V41" s="41">
        <v>0.85</v>
      </c>
      <c r="W41" s="41" t="s">
        <v>32</v>
      </c>
      <c r="X41" s="41">
        <v>421.0</v>
      </c>
      <c r="Y41" s="41">
        <v>446.3</v>
      </c>
      <c r="Z41" s="40">
        <f t="shared" si="49"/>
        <v>25.3</v>
      </c>
      <c r="AA41" s="41">
        <v>1.9</v>
      </c>
      <c r="AB41" s="40">
        <f t="shared" si="50"/>
        <v>6.009501188</v>
      </c>
      <c r="AC41" s="41">
        <v>278.0</v>
      </c>
      <c r="AD41" s="1"/>
      <c r="AE41" s="40"/>
      <c r="AF41" s="40"/>
      <c r="AG41" s="41" t="s">
        <v>198</v>
      </c>
      <c r="AH41" s="41" t="s">
        <v>31</v>
      </c>
      <c r="AI41" s="41">
        <v>0.1</v>
      </c>
      <c r="AJ41" s="41">
        <v>0.3</v>
      </c>
      <c r="AK41" s="41">
        <v>0.4</v>
      </c>
      <c r="AL41" s="41" t="s">
        <v>32</v>
      </c>
      <c r="AM41" s="41">
        <v>292.0</v>
      </c>
      <c r="AN41" s="41">
        <v>299.6</v>
      </c>
      <c r="AO41" s="41">
        <f t="shared" ref="AO41:AO46" si="53">AN41-AM41</f>
        <v>7.6</v>
      </c>
      <c r="AP41" s="41">
        <v>3.5</v>
      </c>
      <c r="AQ41" s="41">
        <f t="shared" ref="AQ41:AQ46" si="54">AN41*100/AM41-100</f>
        <v>2.602739726</v>
      </c>
      <c r="AR41" s="41">
        <v>246.0</v>
      </c>
      <c r="AS41" s="1"/>
      <c r="AT41" s="40"/>
      <c r="AU41" s="40"/>
      <c r="AV41" s="41" t="s">
        <v>199</v>
      </c>
      <c r="AW41" s="41" t="s">
        <v>68</v>
      </c>
      <c r="AX41" s="41">
        <v>0.35</v>
      </c>
      <c r="AY41" s="41" t="s">
        <v>25</v>
      </c>
      <c r="AZ41" s="41">
        <v>0.35</v>
      </c>
      <c r="BA41" s="41" t="s">
        <v>32</v>
      </c>
      <c r="BB41" s="41">
        <v>106.45</v>
      </c>
      <c r="BC41" s="41">
        <v>110.3</v>
      </c>
      <c r="BD41" s="40">
        <f t="shared" si="37"/>
        <v>3.85</v>
      </c>
      <c r="BE41" s="41">
        <v>0.75</v>
      </c>
      <c r="BF41" s="40">
        <f t="shared" si="38"/>
        <v>3.616721465</v>
      </c>
      <c r="BG41" s="41">
        <v>153.0</v>
      </c>
      <c r="BH41" s="1"/>
      <c r="BI41" s="37" t="s">
        <v>200</v>
      </c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5"/>
      <c r="BW41" s="1"/>
      <c r="BX41" s="40"/>
      <c r="BY41" s="40"/>
      <c r="BZ41" s="41" t="s">
        <v>51</v>
      </c>
      <c r="CA41" s="41" t="s">
        <v>37</v>
      </c>
      <c r="CB41" s="41">
        <v>0.2</v>
      </c>
      <c r="CC41" s="41">
        <v>0.550000000000002</v>
      </c>
      <c r="CD41" s="41">
        <v>0.75</v>
      </c>
      <c r="CE41" s="41" t="s">
        <v>32</v>
      </c>
      <c r="CF41" s="41">
        <v>120.5</v>
      </c>
      <c r="CG41" s="41">
        <v>129.3</v>
      </c>
      <c r="CH41" s="40">
        <f t="shared" si="47"/>
        <v>8.8</v>
      </c>
      <c r="CI41" s="41">
        <v>2.5</v>
      </c>
      <c r="CJ41" s="40">
        <f t="shared" si="48"/>
        <v>7.302904564</v>
      </c>
      <c r="CK41" s="41">
        <v>191.0</v>
      </c>
      <c r="CL41" s="1"/>
      <c r="CM41" s="40"/>
      <c r="CN41" s="40"/>
      <c r="CO41" s="41" t="s">
        <v>201</v>
      </c>
      <c r="CP41" s="41" t="s">
        <v>40</v>
      </c>
      <c r="CQ41" s="41">
        <v>0.45</v>
      </c>
      <c r="CR41" s="41" t="s">
        <v>25</v>
      </c>
      <c r="CS41" s="41">
        <v>0.45</v>
      </c>
      <c r="CT41" s="41" t="s">
        <v>26</v>
      </c>
      <c r="CU41" s="41">
        <v>22.0</v>
      </c>
      <c r="CV41" s="41">
        <v>27.3</v>
      </c>
      <c r="CW41" s="40">
        <f t="shared" si="44"/>
        <v>5.3</v>
      </c>
      <c r="CX41" s="41" t="s">
        <v>25</v>
      </c>
      <c r="CY41" s="42">
        <f t="shared" si="45"/>
        <v>24.09090909</v>
      </c>
      <c r="CZ41" s="41">
        <v>73.0</v>
      </c>
      <c r="DA41" s="1"/>
      <c r="DB41" s="1"/>
      <c r="DC41" s="1"/>
      <c r="DD41" s="1"/>
      <c r="DE41" s="1"/>
      <c r="DF41" s="1"/>
    </row>
    <row r="42">
      <c r="A42" s="40"/>
      <c r="B42" s="40"/>
      <c r="C42" s="41" t="s">
        <v>202</v>
      </c>
      <c r="D42" s="41" t="s">
        <v>23</v>
      </c>
      <c r="E42" s="41" t="s">
        <v>24</v>
      </c>
      <c r="F42" s="41" t="s">
        <v>25</v>
      </c>
      <c r="G42" s="41" t="s">
        <v>24</v>
      </c>
      <c r="H42" s="41" t="s">
        <v>26</v>
      </c>
      <c r="I42" s="41">
        <v>141.4</v>
      </c>
      <c r="J42" s="41">
        <v>154.4</v>
      </c>
      <c r="K42" s="40">
        <f t="shared" si="51"/>
        <v>13</v>
      </c>
      <c r="L42" s="41">
        <v>0.6</v>
      </c>
      <c r="M42" s="40">
        <f t="shared" si="52"/>
        <v>9.193776521</v>
      </c>
      <c r="N42" s="41">
        <v>76.0</v>
      </c>
      <c r="O42" s="1"/>
      <c r="P42" s="40"/>
      <c r="Q42" s="40"/>
      <c r="R42" s="41" t="s">
        <v>203</v>
      </c>
      <c r="S42" s="52" t="s">
        <v>96</v>
      </c>
      <c r="T42" s="41">
        <v>0.85</v>
      </c>
      <c r="U42" s="41">
        <v>0.5</v>
      </c>
      <c r="V42" s="41" t="s">
        <v>90</v>
      </c>
      <c r="W42" s="41" t="s">
        <v>26</v>
      </c>
      <c r="X42" s="41">
        <v>71.6</v>
      </c>
      <c r="Y42" s="41">
        <v>96.0</v>
      </c>
      <c r="Z42" s="40">
        <f t="shared" si="49"/>
        <v>24.4</v>
      </c>
      <c r="AA42" s="41">
        <v>7.4</v>
      </c>
      <c r="AB42" s="40">
        <f t="shared" si="50"/>
        <v>34.07821229</v>
      </c>
      <c r="AC42" s="41">
        <v>278.0</v>
      </c>
      <c r="AD42" s="1"/>
      <c r="AE42" s="40"/>
      <c r="AF42" s="40"/>
      <c r="AG42" s="41" t="s">
        <v>204</v>
      </c>
      <c r="AH42" s="41" t="s">
        <v>31</v>
      </c>
      <c r="AI42" s="41">
        <v>0.1</v>
      </c>
      <c r="AJ42" s="41">
        <v>0.3</v>
      </c>
      <c r="AK42" s="41">
        <v>0.4</v>
      </c>
      <c r="AL42" s="41" t="s">
        <v>32</v>
      </c>
      <c r="AM42" s="41">
        <v>264.05</v>
      </c>
      <c r="AN42" s="41">
        <v>269.0</v>
      </c>
      <c r="AO42" s="41">
        <f t="shared" si="53"/>
        <v>4.95</v>
      </c>
      <c r="AP42" s="41">
        <v>6.35</v>
      </c>
      <c r="AQ42" s="41">
        <f t="shared" si="54"/>
        <v>1.874644954</v>
      </c>
      <c r="AR42" s="41">
        <v>249.0</v>
      </c>
      <c r="AS42" s="1"/>
      <c r="AT42" s="40"/>
      <c r="AU42" s="40"/>
      <c r="AV42" s="41" t="s">
        <v>205</v>
      </c>
      <c r="AW42" s="41" t="s">
        <v>68</v>
      </c>
      <c r="AX42" s="41">
        <v>0.35</v>
      </c>
      <c r="AY42" s="41" t="s">
        <v>25</v>
      </c>
      <c r="AZ42" s="41">
        <v>0.35</v>
      </c>
      <c r="BA42" s="41" t="s">
        <v>32</v>
      </c>
      <c r="BB42" s="41">
        <v>135.9</v>
      </c>
      <c r="BC42" s="41">
        <v>144.0</v>
      </c>
      <c r="BD42" s="40">
        <f t="shared" si="37"/>
        <v>8.1</v>
      </c>
      <c r="BE42" s="41">
        <v>0.9</v>
      </c>
      <c r="BF42" s="40">
        <f t="shared" si="38"/>
        <v>5.960264901</v>
      </c>
      <c r="BG42" s="41">
        <v>153.0</v>
      </c>
      <c r="BH42" s="1"/>
      <c r="BI42" s="40"/>
      <c r="BJ42" s="40"/>
      <c r="BK42" s="41" t="s">
        <v>34</v>
      </c>
      <c r="BL42" s="41" t="s">
        <v>35</v>
      </c>
      <c r="BM42" s="41">
        <v>0.65</v>
      </c>
      <c r="BN42" s="41" t="s">
        <v>25</v>
      </c>
      <c r="BO42" s="41">
        <v>0.65</v>
      </c>
      <c r="BP42" s="41" t="s">
        <v>26</v>
      </c>
      <c r="BQ42" s="41">
        <v>176.3</v>
      </c>
      <c r="BR42" s="41">
        <v>188.9</v>
      </c>
      <c r="BS42" s="40">
        <f t="shared" ref="BS42:BS48" si="55">BR42-BQ42</f>
        <v>12.6</v>
      </c>
      <c r="BT42" s="41">
        <v>1.7</v>
      </c>
      <c r="BU42" s="40">
        <f t="shared" ref="BU42:BU48" si="56">BR42*100/BQ42-100</f>
        <v>7.146908678</v>
      </c>
      <c r="BV42" s="41">
        <v>115.0</v>
      </c>
      <c r="BW42" s="1"/>
      <c r="BX42" s="40"/>
      <c r="BY42" s="40"/>
      <c r="BZ42" s="41" t="s">
        <v>93</v>
      </c>
      <c r="CA42" s="41" t="s">
        <v>37</v>
      </c>
      <c r="CB42" s="41">
        <v>0.2</v>
      </c>
      <c r="CC42" s="41">
        <v>0.550000000000002</v>
      </c>
      <c r="CD42" s="41">
        <v>0.75</v>
      </c>
      <c r="CE42" s="41" t="s">
        <v>32</v>
      </c>
      <c r="CF42" s="41">
        <v>60.9</v>
      </c>
      <c r="CG42" s="41">
        <v>66.1</v>
      </c>
      <c r="CH42" s="40">
        <f t="shared" si="47"/>
        <v>5.2</v>
      </c>
      <c r="CI42" s="41">
        <v>1.3</v>
      </c>
      <c r="CJ42" s="40">
        <f t="shared" si="48"/>
        <v>8.538587849</v>
      </c>
      <c r="CK42" s="41">
        <v>191.0</v>
      </c>
      <c r="CL42" s="1"/>
      <c r="CM42" s="40"/>
      <c r="CN42" s="40"/>
      <c r="CO42" s="41" t="s">
        <v>46</v>
      </c>
      <c r="CP42" s="41" t="s">
        <v>40</v>
      </c>
      <c r="CQ42" s="41">
        <v>0.35</v>
      </c>
      <c r="CR42" s="41" t="s">
        <v>25</v>
      </c>
      <c r="CS42" s="41">
        <v>0.35</v>
      </c>
      <c r="CT42" s="41" t="s">
        <v>26</v>
      </c>
      <c r="CU42" s="41">
        <v>144.8</v>
      </c>
      <c r="CV42" s="41">
        <v>158.1</v>
      </c>
      <c r="CW42" s="40">
        <f t="shared" si="44"/>
        <v>13.3</v>
      </c>
      <c r="CX42" s="41">
        <v>1.0</v>
      </c>
      <c r="CY42" s="40">
        <f t="shared" si="45"/>
        <v>9.185082873</v>
      </c>
      <c r="CZ42" s="41">
        <v>99.0</v>
      </c>
      <c r="DA42" s="1"/>
      <c r="DB42" s="1"/>
      <c r="DC42" s="1"/>
      <c r="DD42" s="1"/>
      <c r="DE42" s="1"/>
      <c r="DF42" s="1"/>
    </row>
    <row r="43">
      <c r="A43" s="40"/>
      <c r="B43" s="40"/>
      <c r="C43" s="41" t="s">
        <v>206</v>
      </c>
      <c r="D43" s="41" t="s">
        <v>23</v>
      </c>
      <c r="E43" s="41" t="s">
        <v>24</v>
      </c>
      <c r="F43" s="41" t="s">
        <v>25</v>
      </c>
      <c r="G43" s="41" t="s">
        <v>24</v>
      </c>
      <c r="H43" s="41" t="s">
        <v>26</v>
      </c>
      <c r="I43" s="41">
        <v>115.9</v>
      </c>
      <c r="J43" s="41">
        <v>124.6</v>
      </c>
      <c r="K43" s="40">
        <f t="shared" si="51"/>
        <v>8.7</v>
      </c>
      <c r="L43" s="41">
        <v>1.1</v>
      </c>
      <c r="M43" s="40">
        <f t="shared" si="52"/>
        <v>7.506471096</v>
      </c>
      <c r="N43" s="41">
        <v>76.0</v>
      </c>
      <c r="O43" s="1"/>
      <c r="P43" s="47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1"/>
      <c r="AE43" s="40"/>
      <c r="AF43" s="40"/>
      <c r="AG43" s="41" t="s">
        <v>207</v>
      </c>
      <c r="AH43" s="41" t="s">
        <v>31</v>
      </c>
      <c r="AI43" s="41">
        <v>0.1</v>
      </c>
      <c r="AJ43" s="41">
        <v>0.3</v>
      </c>
      <c r="AK43" s="41">
        <v>0.4</v>
      </c>
      <c r="AL43" s="41" t="s">
        <v>32</v>
      </c>
      <c r="AM43" s="41">
        <v>145.0</v>
      </c>
      <c r="AN43" s="41">
        <v>153.2</v>
      </c>
      <c r="AO43" s="41">
        <f t="shared" si="53"/>
        <v>8.2</v>
      </c>
      <c r="AP43" s="41">
        <v>3.0</v>
      </c>
      <c r="AQ43" s="41">
        <f t="shared" si="54"/>
        <v>5.655172414</v>
      </c>
      <c r="AR43" s="41">
        <v>257.0</v>
      </c>
      <c r="AS43" s="1"/>
      <c r="AT43" s="47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5"/>
      <c r="BH43" s="1"/>
      <c r="BI43" s="40"/>
      <c r="BJ43" s="40"/>
      <c r="BK43" s="41" t="s">
        <v>208</v>
      </c>
      <c r="BL43" s="41" t="s">
        <v>35</v>
      </c>
      <c r="BM43" s="41">
        <v>0.65</v>
      </c>
      <c r="BN43" s="41" t="s">
        <v>25</v>
      </c>
      <c r="BO43" s="41">
        <v>0.65</v>
      </c>
      <c r="BP43" s="41" t="s">
        <v>26</v>
      </c>
      <c r="BQ43" s="41">
        <v>48.7</v>
      </c>
      <c r="BR43" s="41">
        <v>53.8</v>
      </c>
      <c r="BS43" s="40">
        <f t="shared" si="55"/>
        <v>5.1</v>
      </c>
      <c r="BT43" s="41">
        <v>0.9</v>
      </c>
      <c r="BU43" s="40">
        <f t="shared" si="56"/>
        <v>10.47227926</v>
      </c>
      <c r="BV43" s="41">
        <v>131.0</v>
      </c>
      <c r="BW43" s="1"/>
      <c r="BX43" s="40"/>
      <c r="BY43" s="40"/>
      <c r="BZ43" s="41" t="s">
        <v>51</v>
      </c>
      <c r="CA43" s="41" t="s">
        <v>37</v>
      </c>
      <c r="CB43" s="41">
        <v>0.2</v>
      </c>
      <c r="CC43" s="41">
        <v>0.550000000000002</v>
      </c>
      <c r="CD43" s="41">
        <v>0.75</v>
      </c>
      <c r="CE43" s="41" t="s">
        <v>32</v>
      </c>
      <c r="CF43" s="41">
        <v>114.1</v>
      </c>
      <c r="CG43" s="41">
        <v>124.0</v>
      </c>
      <c r="CH43" s="40">
        <f t="shared" si="47"/>
        <v>9.9</v>
      </c>
      <c r="CI43" s="41">
        <v>196.0</v>
      </c>
      <c r="CJ43" s="40">
        <f t="shared" si="48"/>
        <v>8.676599474</v>
      </c>
      <c r="CK43" s="41">
        <v>196.0</v>
      </c>
      <c r="CL43" s="1"/>
      <c r="CM43" s="40"/>
      <c r="CN43" s="40"/>
      <c r="CO43" s="41" t="s">
        <v>58</v>
      </c>
      <c r="CP43" s="41" t="s">
        <v>40</v>
      </c>
      <c r="CQ43" s="41">
        <v>0.35</v>
      </c>
      <c r="CR43" s="41" t="s">
        <v>25</v>
      </c>
      <c r="CS43" s="41">
        <v>0.35</v>
      </c>
      <c r="CT43" s="41" t="s">
        <v>26</v>
      </c>
      <c r="CU43" s="41">
        <v>71.2</v>
      </c>
      <c r="CV43" s="41">
        <v>77.3</v>
      </c>
      <c r="CW43" s="40">
        <f t="shared" si="44"/>
        <v>6.1</v>
      </c>
      <c r="CX43" s="41">
        <v>1.3</v>
      </c>
      <c r="CY43" s="40">
        <f t="shared" si="45"/>
        <v>8.56741573</v>
      </c>
      <c r="CZ43" s="41">
        <v>99.0</v>
      </c>
      <c r="DA43" s="1"/>
      <c r="DB43" s="1"/>
      <c r="DC43" s="1"/>
      <c r="DD43" s="1"/>
      <c r="DE43" s="1"/>
      <c r="DF43" s="1"/>
    </row>
    <row r="44">
      <c r="A44" s="40"/>
      <c r="B44" s="40"/>
      <c r="C44" s="41" t="s">
        <v>209</v>
      </c>
      <c r="D44" s="41" t="s">
        <v>23</v>
      </c>
      <c r="E44" s="41" t="s">
        <v>24</v>
      </c>
      <c r="F44" s="41" t="s">
        <v>25</v>
      </c>
      <c r="G44" s="41" t="s">
        <v>24</v>
      </c>
      <c r="H44" s="41" t="s">
        <v>26</v>
      </c>
      <c r="I44" s="40">
        <f>302.8+136.5</f>
        <v>439.3</v>
      </c>
      <c r="J44" s="40">
        <f>324+155.9</f>
        <v>479.9</v>
      </c>
      <c r="K44" s="40">
        <f t="shared" si="51"/>
        <v>40.6</v>
      </c>
      <c r="L44" s="41">
        <v>2.7</v>
      </c>
      <c r="M44" s="40">
        <f t="shared" si="52"/>
        <v>9.241975871</v>
      </c>
      <c r="N44" s="41">
        <v>77.0</v>
      </c>
      <c r="O44" s="1"/>
      <c r="P44" s="51" t="s">
        <v>210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1"/>
      <c r="AE44" s="40"/>
      <c r="AF44" s="40"/>
      <c r="AG44" s="41" t="s">
        <v>211</v>
      </c>
      <c r="AH44" s="41" t="s">
        <v>31</v>
      </c>
      <c r="AI44" s="41">
        <v>0.1</v>
      </c>
      <c r="AJ44" s="41">
        <v>0.3</v>
      </c>
      <c r="AK44" s="41">
        <v>0.4</v>
      </c>
      <c r="AL44" s="41" t="s">
        <v>32</v>
      </c>
      <c r="AM44" s="41">
        <v>129.25</v>
      </c>
      <c r="AN44" s="41">
        <v>133.8</v>
      </c>
      <c r="AO44" s="41">
        <f t="shared" si="53"/>
        <v>4.55</v>
      </c>
      <c r="AP44" s="41">
        <v>0.9</v>
      </c>
      <c r="AQ44" s="41">
        <f t="shared" si="54"/>
        <v>3.520309478</v>
      </c>
      <c r="AR44" s="41">
        <v>258.0</v>
      </c>
      <c r="AS44" s="1"/>
      <c r="AT44" s="50" t="s">
        <v>212</v>
      </c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5"/>
      <c r="BH44" s="1"/>
      <c r="BI44" s="40"/>
      <c r="BJ44" s="40"/>
      <c r="BK44" s="41" t="s">
        <v>98</v>
      </c>
      <c r="BL44" s="41" t="s">
        <v>35</v>
      </c>
      <c r="BM44" s="41">
        <v>0.65</v>
      </c>
      <c r="BN44" s="41" t="s">
        <v>25</v>
      </c>
      <c r="BO44" s="41">
        <v>0.65</v>
      </c>
      <c r="BP44" s="41" t="s">
        <v>26</v>
      </c>
      <c r="BQ44" s="41">
        <v>21.9</v>
      </c>
      <c r="BR44" s="41">
        <v>24.6</v>
      </c>
      <c r="BS44" s="40">
        <f t="shared" si="55"/>
        <v>2.7</v>
      </c>
      <c r="BT44" s="41" t="s">
        <v>25</v>
      </c>
      <c r="BU44" s="40">
        <f t="shared" si="56"/>
        <v>12.32876712</v>
      </c>
      <c r="BV44" s="41">
        <v>131.0</v>
      </c>
      <c r="BW44" s="1"/>
      <c r="CL44" s="1"/>
      <c r="CM44" s="40"/>
      <c r="CN44" s="40"/>
      <c r="CO44" s="41" t="s">
        <v>64</v>
      </c>
      <c r="CP44" s="41" t="s">
        <v>40</v>
      </c>
      <c r="CQ44" s="41">
        <v>0.35</v>
      </c>
      <c r="CR44" s="41" t="s">
        <v>25</v>
      </c>
      <c r="CS44" s="41">
        <v>0.35</v>
      </c>
      <c r="CT44" s="41" t="s">
        <v>26</v>
      </c>
      <c r="CU44" s="41">
        <v>97.2</v>
      </c>
      <c r="CV44" s="41">
        <v>103.7</v>
      </c>
      <c r="CW44" s="40">
        <f t="shared" si="44"/>
        <v>6.5</v>
      </c>
      <c r="CX44" s="41">
        <v>2.2</v>
      </c>
      <c r="CY44" s="40">
        <f t="shared" si="45"/>
        <v>6.687242798</v>
      </c>
      <c r="CZ44" s="41">
        <v>99.0</v>
      </c>
      <c r="DA44" s="1"/>
      <c r="DB44" s="1"/>
      <c r="DC44" s="1"/>
      <c r="DD44" s="1"/>
      <c r="DE44" s="1"/>
      <c r="DF44" s="1"/>
    </row>
    <row r="45">
      <c r="A45" s="40"/>
      <c r="B45" s="40"/>
      <c r="C45" s="41" t="s">
        <v>41</v>
      </c>
      <c r="D45" s="41" t="s">
        <v>23</v>
      </c>
      <c r="E45" s="41" t="s">
        <v>24</v>
      </c>
      <c r="F45" s="41" t="s">
        <v>25</v>
      </c>
      <c r="G45" s="41" t="s">
        <v>24</v>
      </c>
      <c r="H45" s="41" t="s">
        <v>26</v>
      </c>
      <c r="I45" s="41">
        <v>136.5</v>
      </c>
      <c r="J45" s="41">
        <v>149.2</v>
      </c>
      <c r="K45" s="40">
        <f t="shared" si="51"/>
        <v>12.7</v>
      </c>
      <c r="L45" s="41">
        <v>0.9</v>
      </c>
      <c r="M45" s="40">
        <f t="shared" si="52"/>
        <v>9.304029304</v>
      </c>
      <c r="N45" s="41">
        <v>80.0</v>
      </c>
      <c r="O45" s="1"/>
      <c r="P45" s="41"/>
      <c r="Q45" s="40"/>
      <c r="R45" s="41" t="s">
        <v>53</v>
      </c>
      <c r="S45" s="59" t="s">
        <v>182</v>
      </c>
      <c r="T45" s="41">
        <v>0.35</v>
      </c>
      <c r="U45" s="41">
        <v>0.5</v>
      </c>
      <c r="V45" s="41">
        <v>0.85</v>
      </c>
      <c r="W45" s="41" t="s">
        <v>26</v>
      </c>
      <c r="X45" s="41">
        <v>445.2</v>
      </c>
      <c r="Y45" s="41">
        <v>512.1</v>
      </c>
      <c r="Z45" s="40">
        <f>Y45-X45</f>
        <v>66.9</v>
      </c>
      <c r="AA45" s="41">
        <v>3.5</v>
      </c>
      <c r="AB45" s="40">
        <f>Y45*100/X45-100</f>
        <v>15.02695418</v>
      </c>
      <c r="AC45" s="41">
        <v>298.0</v>
      </c>
      <c r="AD45" s="1"/>
      <c r="AE45" s="40"/>
      <c r="AF45" s="40"/>
      <c r="AG45" s="41" t="s">
        <v>213</v>
      </c>
      <c r="AH45" s="41" t="s">
        <v>31</v>
      </c>
      <c r="AI45" s="41">
        <v>0.1</v>
      </c>
      <c r="AJ45" s="41">
        <v>0.3</v>
      </c>
      <c r="AK45" s="41">
        <v>0.4</v>
      </c>
      <c r="AL45" s="41" t="s">
        <v>32</v>
      </c>
      <c r="AM45" s="41">
        <v>125.1</v>
      </c>
      <c r="AN45" s="41">
        <v>130.2</v>
      </c>
      <c r="AO45" s="41">
        <f t="shared" si="53"/>
        <v>5.1</v>
      </c>
      <c r="AP45" s="41">
        <v>3.2</v>
      </c>
      <c r="AQ45" s="41">
        <f t="shared" si="54"/>
        <v>4.076738609</v>
      </c>
      <c r="AR45" s="41">
        <v>263.0</v>
      </c>
      <c r="AS45" s="1"/>
      <c r="AT45" s="40"/>
      <c r="AU45" s="40"/>
      <c r="AV45" s="41" t="s">
        <v>214</v>
      </c>
      <c r="AW45" s="41" t="s">
        <v>62</v>
      </c>
      <c r="AX45" s="41">
        <v>0.35</v>
      </c>
      <c r="AY45" s="41" t="s">
        <v>25</v>
      </c>
      <c r="AZ45" s="41" t="s">
        <v>215</v>
      </c>
      <c r="BA45" s="41" t="s">
        <v>26</v>
      </c>
      <c r="BB45" s="41">
        <v>19.8</v>
      </c>
      <c r="BC45" s="41">
        <v>21.1</v>
      </c>
      <c r="BD45" s="40">
        <f t="shared" ref="BD45:BD61" si="57">BC45-BB45</f>
        <v>1.3</v>
      </c>
      <c r="BE45" s="41" t="s">
        <v>25</v>
      </c>
      <c r="BF45" s="40">
        <f t="shared" ref="BF45:BF61" si="58">BC45*100/BB45-100</f>
        <v>6.565656566</v>
      </c>
      <c r="BG45" s="41">
        <v>165.0</v>
      </c>
      <c r="BH45" s="1"/>
      <c r="BI45" s="40"/>
      <c r="BJ45" s="40"/>
      <c r="BK45" s="41" t="s">
        <v>113</v>
      </c>
      <c r="BL45" s="41" t="s">
        <v>35</v>
      </c>
      <c r="BM45" s="41">
        <v>0.65</v>
      </c>
      <c r="BN45" s="41" t="s">
        <v>25</v>
      </c>
      <c r="BO45" s="41">
        <v>0.65</v>
      </c>
      <c r="BP45" s="41" t="s">
        <v>26</v>
      </c>
      <c r="BQ45" s="41">
        <v>31.7</v>
      </c>
      <c r="BR45" s="41">
        <v>34.6</v>
      </c>
      <c r="BS45" s="40">
        <f t="shared" si="55"/>
        <v>2.9</v>
      </c>
      <c r="BT45" s="41" t="s">
        <v>25</v>
      </c>
      <c r="BU45" s="40">
        <f t="shared" si="56"/>
        <v>9.148264984</v>
      </c>
      <c r="BV45" s="41">
        <v>131.0</v>
      </c>
      <c r="BW45" s="1"/>
      <c r="BX45" s="38" t="s">
        <v>216</v>
      </c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5"/>
      <c r="CL45" s="1"/>
      <c r="CM45" s="40"/>
      <c r="CN45" s="40"/>
      <c r="CO45" s="41" t="s">
        <v>52</v>
      </c>
      <c r="CP45" s="41" t="s">
        <v>40</v>
      </c>
      <c r="CQ45" s="41">
        <v>0.35</v>
      </c>
      <c r="CR45" s="41" t="s">
        <v>25</v>
      </c>
      <c r="CS45" s="41">
        <v>0.35</v>
      </c>
      <c r="CT45" s="41" t="s">
        <v>26</v>
      </c>
      <c r="CU45" s="41">
        <v>92.6</v>
      </c>
      <c r="CV45" s="41">
        <v>101.6</v>
      </c>
      <c r="CW45" s="40">
        <f t="shared" si="44"/>
        <v>9</v>
      </c>
      <c r="CX45" s="41">
        <v>0.5</v>
      </c>
      <c r="CY45" s="40">
        <f t="shared" si="45"/>
        <v>9.719222462</v>
      </c>
      <c r="CZ45" s="41">
        <v>99.0</v>
      </c>
      <c r="DA45" s="1"/>
      <c r="DB45" s="1"/>
      <c r="DC45" s="1"/>
      <c r="DD45" s="1"/>
      <c r="DE45" s="1"/>
      <c r="DF45" s="1"/>
    </row>
    <row r="46">
      <c r="A46" s="40"/>
      <c r="B46" s="40"/>
      <c r="C46" s="41" t="s">
        <v>22</v>
      </c>
      <c r="D46" s="41" t="s">
        <v>23</v>
      </c>
      <c r="E46" s="41" t="s">
        <v>24</v>
      </c>
      <c r="F46" s="41" t="s">
        <v>25</v>
      </c>
      <c r="G46" s="41" t="s">
        <v>24</v>
      </c>
      <c r="H46" s="41" t="s">
        <v>26</v>
      </c>
      <c r="I46" s="41">
        <v>94.7</v>
      </c>
      <c r="J46" s="41">
        <v>101.5</v>
      </c>
      <c r="K46" s="40">
        <f t="shared" si="51"/>
        <v>6.8</v>
      </c>
      <c r="L46" s="41">
        <v>1.7</v>
      </c>
      <c r="M46" s="40">
        <f t="shared" si="52"/>
        <v>7.180570222</v>
      </c>
      <c r="N46" s="41">
        <v>84.0</v>
      </c>
      <c r="O46" s="1"/>
      <c r="P46" s="55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1"/>
      <c r="AE46" s="40"/>
      <c r="AF46" s="40"/>
      <c r="AG46" s="41" t="s">
        <v>217</v>
      </c>
      <c r="AH46" s="41" t="s">
        <v>31</v>
      </c>
      <c r="AI46" s="41">
        <v>0.1</v>
      </c>
      <c r="AJ46" s="41">
        <v>0.3</v>
      </c>
      <c r="AK46" s="41">
        <v>0.4</v>
      </c>
      <c r="AL46" s="41" t="s">
        <v>32</v>
      </c>
      <c r="AM46" s="41" t="s">
        <v>25</v>
      </c>
      <c r="AN46" s="41">
        <v>414.8</v>
      </c>
      <c r="AO46" s="40" t="str">
        <f t="shared" si="53"/>
        <v>#VALUE!</v>
      </c>
      <c r="AP46" s="41" t="s">
        <v>25</v>
      </c>
      <c r="AQ46" s="40" t="str">
        <f t="shared" si="54"/>
        <v>#VALUE!</v>
      </c>
      <c r="AR46" s="41">
        <v>276.0</v>
      </c>
      <c r="AS46" s="1"/>
      <c r="AT46" s="40"/>
      <c r="AU46" s="40"/>
      <c r="AV46" s="41" t="s">
        <v>218</v>
      </c>
      <c r="AW46" s="41" t="s">
        <v>121</v>
      </c>
      <c r="AX46" s="41">
        <v>0.4</v>
      </c>
      <c r="AY46" s="41" t="s">
        <v>25</v>
      </c>
      <c r="AZ46" s="41">
        <v>0.4</v>
      </c>
      <c r="BA46" s="41" t="s">
        <v>26</v>
      </c>
      <c r="BB46" s="41" t="s">
        <v>25</v>
      </c>
      <c r="BC46" s="41">
        <v>23.0</v>
      </c>
      <c r="BD46" s="40" t="str">
        <f t="shared" si="57"/>
        <v>#VALUE!</v>
      </c>
      <c r="BE46" s="41" t="s">
        <v>25</v>
      </c>
      <c r="BF46" s="40" t="str">
        <f t="shared" si="58"/>
        <v>#VALUE!</v>
      </c>
      <c r="BG46" s="41">
        <v>165.0</v>
      </c>
      <c r="BH46" s="1"/>
      <c r="BI46" s="40"/>
      <c r="BJ46" s="40"/>
      <c r="BK46" s="41" t="s">
        <v>126</v>
      </c>
      <c r="BL46" s="41" t="s">
        <v>35</v>
      </c>
      <c r="BM46" s="41">
        <v>0.65</v>
      </c>
      <c r="BN46" s="41" t="s">
        <v>25</v>
      </c>
      <c r="BO46" s="41">
        <v>0.65</v>
      </c>
      <c r="BP46" s="41" t="s">
        <v>26</v>
      </c>
      <c r="BQ46" s="41">
        <v>47.9</v>
      </c>
      <c r="BR46" s="41">
        <v>52.2</v>
      </c>
      <c r="BS46" s="40">
        <f t="shared" si="55"/>
        <v>4.3</v>
      </c>
      <c r="BT46" s="41">
        <v>0.7</v>
      </c>
      <c r="BU46" s="40">
        <f t="shared" si="56"/>
        <v>8.977035491</v>
      </c>
      <c r="BV46" s="41">
        <v>131.0</v>
      </c>
      <c r="BW46" s="1"/>
      <c r="BX46" s="40"/>
      <c r="BY46" s="40"/>
      <c r="BZ46" s="41" t="s">
        <v>98</v>
      </c>
      <c r="CA46" s="41" t="s">
        <v>37</v>
      </c>
      <c r="CB46" s="41">
        <v>0.2</v>
      </c>
      <c r="CC46" s="41">
        <v>0.550000000000002</v>
      </c>
      <c r="CD46" s="41">
        <v>0.75</v>
      </c>
      <c r="CE46" s="41" t="s">
        <v>32</v>
      </c>
      <c r="CF46" s="41">
        <v>117.1</v>
      </c>
      <c r="CG46" s="41">
        <v>131.9</v>
      </c>
      <c r="CH46" s="40">
        <f t="shared" ref="CH46:CH54" si="59">CG46-CF46</f>
        <v>14.8</v>
      </c>
      <c r="CI46" s="41">
        <v>0.4</v>
      </c>
      <c r="CJ46" s="40">
        <f t="shared" ref="CJ46:CJ54" si="60">CG46*100/CF46-100</f>
        <v>12.63877028</v>
      </c>
      <c r="CK46" s="41">
        <v>206.0</v>
      </c>
      <c r="CL46" s="1"/>
      <c r="CM46" s="40"/>
      <c r="CN46" s="40"/>
      <c r="CO46" s="41" t="s">
        <v>179</v>
      </c>
      <c r="CP46" s="41" t="s">
        <v>40</v>
      </c>
      <c r="CQ46" s="41">
        <v>0.35</v>
      </c>
      <c r="CR46" s="41" t="s">
        <v>25</v>
      </c>
      <c r="CS46" s="41">
        <v>0.35</v>
      </c>
      <c r="CT46" s="41" t="s">
        <v>26</v>
      </c>
      <c r="CU46" s="41" t="s">
        <v>25</v>
      </c>
      <c r="CV46" s="41">
        <v>78.5</v>
      </c>
      <c r="CW46" s="40" t="str">
        <f t="shared" si="44"/>
        <v>#VALUE!</v>
      </c>
      <c r="CX46" s="41" t="s">
        <v>25</v>
      </c>
      <c r="CY46" s="40" t="str">
        <f t="shared" si="45"/>
        <v>#VALUE!</v>
      </c>
      <c r="CZ46" s="41">
        <v>99.0</v>
      </c>
      <c r="DA46" s="1"/>
      <c r="DB46" s="1"/>
      <c r="DC46" s="1"/>
      <c r="DD46" s="1"/>
      <c r="DE46" s="1"/>
      <c r="DF46" s="1"/>
    </row>
    <row r="47">
      <c r="A47" s="40"/>
      <c r="B47" s="40"/>
      <c r="C47" s="41" t="s">
        <v>219</v>
      </c>
      <c r="D47" s="41" t="s">
        <v>23</v>
      </c>
      <c r="E47" s="41" t="s">
        <v>24</v>
      </c>
      <c r="F47" s="41" t="s">
        <v>25</v>
      </c>
      <c r="G47" s="41" t="s">
        <v>24</v>
      </c>
      <c r="H47" s="41" t="s">
        <v>26</v>
      </c>
      <c r="I47" s="41">
        <v>4177.5</v>
      </c>
      <c r="J47" s="41">
        <v>4526.5</v>
      </c>
      <c r="K47" s="40">
        <f t="shared" si="51"/>
        <v>349</v>
      </c>
      <c r="L47" s="41">
        <v>66.0</v>
      </c>
      <c r="M47" s="40">
        <f t="shared" si="52"/>
        <v>8.354278875</v>
      </c>
      <c r="N47" s="41" t="s">
        <v>220</v>
      </c>
      <c r="O47" s="1"/>
      <c r="P47" s="51" t="s">
        <v>221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1"/>
      <c r="AE47" s="62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6"/>
      <c r="AS47" s="1"/>
      <c r="AT47" s="40"/>
      <c r="AU47" s="40"/>
      <c r="AV47" s="41" t="s">
        <v>222</v>
      </c>
      <c r="AW47" s="41" t="s">
        <v>68</v>
      </c>
      <c r="AX47" s="41">
        <v>0.35</v>
      </c>
      <c r="AY47" s="41" t="s">
        <v>25</v>
      </c>
      <c r="AZ47" s="41">
        <v>0.35</v>
      </c>
      <c r="BA47" s="41" t="s">
        <v>32</v>
      </c>
      <c r="BB47" s="41">
        <v>143.5</v>
      </c>
      <c r="BC47" s="41">
        <v>148.4</v>
      </c>
      <c r="BD47" s="40">
        <f t="shared" si="57"/>
        <v>4.9</v>
      </c>
      <c r="BE47" s="41">
        <v>0.9</v>
      </c>
      <c r="BF47" s="40">
        <f t="shared" si="58"/>
        <v>3.414634146</v>
      </c>
      <c r="BG47" s="41">
        <v>166.0</v>
      </c>
      <c r="BH47" s="1"/>
      <c r="BI47" s="40"/>
      <c r="BJ47" s="40"/>
      <c r="BK47" s="41" t="s">
        <v>64</v>
      </c>
      <c r="BL47" s="41" t="s">
        <v>35</v>
      </c>
      <c r="BM47" s="41">
        <v>0.65</v>
      </c>
      <c r="BN47" s="41" t="s">
        <v>25</v>
      </c>
      <c r="BO47" s="41">
        <v>0.65</v>
      </c>
      <c r="BP47" s="41" t="s">
        <v>26</v>
      </c>
      <c r="BQ47" s="41">
        <v>771.0</v>
      </c>
      <c r="BR47" s="41">
        <v>827.6</v>
      </c>
      <c r="BS47" s="40">
        <f t="shared" si="55"/>
        <v>56.6</v>
      </c>
      <c r="BT47" s="41">
        <v>16.0</v>
      </c>
      <c r="BU47" s="40">
        <f t="shared" si="56"/>
        <v>7.341115435</v>
      </c>
      <c r="BV47" s="41" t="s">
        <v>223</v>
      </c>
      <c r="BW47" s="1"/>
      <c r="BX47" s="40"/>
      <c r="BY47" s="40"/>
      <c r="BZ47" s="41" t="s">
        <v>93</v>
      </c>
      <c r="CA47" s="41" t="s">
        <v>37</v>
      </c>
      <c r="CB47" s="41">
        <v>0.2</v>
      </c>
      <c r="CC47" s="41">
        <v>0.550000000000002</v>
      </c>
      <c r="CD47" s="41">
        <v>0.75</v>
      </c>
      <c r="CE47" s="41" t="s">
        <v>32</v>
      </c>
      <c r="CF47" s="41" t="s">
        <v>224</v>
      </c>
      <c r="CG47" s="41">
        <v>135.5</v>
      </c>
      <c r="CH47" s="40" t="str">
        <f t="shared" si="59"/>
        <v>#VALUE!</v>
      </c>
      <c r="CI47" s="41" t="s">
        <v>25</v>
      </c>
      <c r="CJ47" s="40" t="str">
        <f t="shared" si="60"/>
        <v>#VALUE!</v>
      </c>
      <c r="CK47" s="41">
        <v>206.0</v>
      </c>
      <c r="CL47" s="1"/>
      <c r="CM47" s="40"/>
      <c r="CN47" s="40"/>
      <c r="CO47" s="41" t="s">
        <v>106</v>
      </c>
      <c r="CP47" s="41" t="s">
        <v>40</v>
      </c>
      <c r="CQ47" s="41">
        <v>0.45</v>
      </c>
      <c r="CR47" s="41" t="s">
        <v>25</v>
      </c>
      <c r="CS47" s="41">
        <v>0.45</v>
      </c>
      <c r="CT47" s="41" t="s">
        <v>26</v>
      </c>
      <c r="CU47" s="41">
        <v>45.0</v>
      </c>
      <c r="CV47" s="41">
        <v>49.7</v>
      </c>
      <c r="CW47" s="40">
        <f t="shared" si="44"/>
        <v>4.7</v>
      </c>
      <c r="CX47" s="41">
        <v>0.15</v>
      </c>
      <c r="CY47" s="40">
        <f t="shared" si="45"/>
        <v>10.44444444</v>
      </c>
      <c r="CZ47" s="41">
        <v>102.0</v>
      </c>
      <c r="DA47" s="1"/>
      <c r="DB47" s="1"/>
      <c r="DC47" s="1"/>
      <c r="DD47" s="1"/>
      <c r="DE47" s="1"/>
      <c r="DF47" s="1"/>
    </row>
    <row r="48">
      <c r="A48" s="40"/>
      <c r="B48" s="40"/>
      <c r="C48" s="41" t="s">
        <v>225</v>
      </c>
      <c r="D48" s="41" t="s">
        <v>23</v>
      </c>
      <c r="E48" s="41" t="s">
        <v>24</v>
      </c>
      <c r="F48" s="41" t="s">
        <v>25</v>
      </c>
      <c r="G48" s="41" t="s">
        <v>24</v>
      </c>
      <c r="H48" s="41" t="s">
        <v>26</v>
      </c>
      <c r="I48" s="41">
        <v>91.1</v>
      </c>
      <c r="J48" s="41">
        <v>102.7</v>
      </c>
      <c r="K48" s="40">
        <f t="shared" si="51"/>
        <v>11.6</v>
      </c>
      <c r="L48" s="41">
        <v>0.8</v>
      </c>
      <c r="M48" s="40">
        <f t="shared" si="52"/>
        <v>12.73326015</v>
      </c>
      <c r="N48" s="41">
        <v>90.0</v>
      </c>
      <c r="O48" s="1"/>
      <c r="P48" s="41"/>
      <c r="Q48" s="40"/>
      <c r="R48" s="40"/>
      <c r="S48" s="52"/>
      <c r="T48" s="41"/>
      <c r="U48" s="41"/>
      <c r="V48" s="41"/>
      <c r="W48" s="41"/>
      <c r="X48" s="40"/>
      <c r="Y48" s="40"/>
      <c r="Z48" s="40">
        <f t="shared" ref="Z48:Z50" si="61">Y48-X48</f>
        <v>0</v>
      </c>
      <c r="AA48" s="40"/>
      <c r="AB48" s="40" t="str">
        <f t="shared" ref="AB48:AB50" si="62">Y48*100/X48-100</f>
        <v>#DIV/0!</v>
      </c>
      <c r="AC48" s="40"/>
      <c r="AD48" s="1"/>
      <c r="AE48" s="63" t="s">
        <v>226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1"/>
      <c r="AS48" s="1"/>
      <c r="AT48" s="40"/>
      <c r="AU48" s="40"/>
      <c r="AV48" s="41" t="s">
        <v>39</v>
      </c>
      <c r="AW48" s="41" t="s">
        <v>68</v>
      </c>
      <c r="AX48" s="41">
        <v>0.35</v>
      </c>
      <c r="AY48" s="41" t="s">
        <v>25</v>
      </c>
      <c r="AZ48" s="41">
        <v>0.35</v>
      </c>
      <c r="BA48" s="41" t="s">
        <v>32</v>
      </c>
      <c r="BB48" s="41">
        <v>69.9</v>
      </c>
      <c r="BC48" s="41">
        <v>72.1</v>
      </c>
      <c r="BD48" s="40">
        <f t="shared" si="57"/>
        <v>2.2</v>
      </c>
      <c r="BE48" s="41">
        <v>1.2</v>
      </c>
      <c r="BF48" s="40">
        <f t="shared" si="58"/>
        <v>3.147353362</v>
      </c>
      <c r="BG48" s="41">
        <v>166.0</v>
      </c>
      <c r="BH48" s="1"/>
      <c r="BI48" s="40"/>
      <c r="BJ48" s="40"/>
      <c r="BK48" s="41" t="s">
        <v>113</v>
      </c>
      <c r="BL48" s="41" t="s">
        <v>35</v>
      </c>
      <c r="BM48" s="41">
        <v>0.65</v>
      </c>
      <c r="BN48" s="41" t="s">
        <v>25</v>
      </c>
      <c r="BO48" s="41">
        <v>0.65</v>
      </c>
      <c r="BP48" s="41" t="s">
        <v>32</v>
      </c>
      <c r="BQ48" s="41" t="s">
        <v>25</v>
      </c>
      <c r="BR48" s="41">
        <v>127.0</v>
      </c>
      <c r="BS48" s="40" t="str">
        <f t="shared" si="55"/>
        <v>#VALUE!</v>
      </c>
      <c r="BT48" s="41" t="s">
        <v>25</v>
      </c>
      <c r="BU48" s="40" t="str">
        <f t="shared" si="56"/>
        <v>#VALUE!</v>
      </c>
      <c r="BV48" s="41">
        <v>147.0</v>
      </c>
      <c r="BW48" s="1"/>
      <c r="BX48" s="40"/>
      <c r="BY48" s="40"/>
      <c r="BZ48" s="41" t="s">
        <v>113</v>
      </c>
      <c r="CA48" s="41" t="s">
        <v>37</v>
      </c>
      <c r="CB48" s="41">
        <v>0.2</v>
      </c>
      <c r="CC48" s="41">
        <v>0.550000000000002</v>
      </c>
      <c r="CD48" s="41">
        <v>0.75</v>
      </c>
      <c r="CE48" s="41" t="s">
        <v>32</v>
      </c>
      <c r="CF48" s="41">
        <v>65.0</v>
      </c>
      <c r="CG48" s="41">
        <v>67.1</v>
      </c>
      <c r="CH48" s="40">
        <f t="shared" si="59"/>
        <v>2.1</v>
      </c>
      <c r="CI48" s="41">
        <v>0.8</v>
      </c>
      <c r="CJ48" s="40">
        <f t="shared" si="60"/>
        <v>3.230769231</v>
      </c>
      <c r="CK48" s="41">
        <v>206.0</v>
      </c>
      <c r="CL48" s="1"/>
      <c r="CM48" s="40"/>
      <c r="CN48" s="40"/>
      <c r="CO48" s="41" t="s">
        <v>46</v>
      </c>
      <c r="CP48" s="41" t="s">
        <v>40</v>
      </c>
      <c r="CQ48" s="41">
        <v>0.35</v>
      </c>
      <c r="CR48" s="41" t="s">
        <v>25</v>
      </c>
      <c r="CS48" s="41">
        <v>0.35</v>
      </c>
      <c r="CT48" s="41" t="s">
        <v>26</v>
      </c>
      <c r="CU48" s="41">
        <v>45.4</v>
      </c>
      <c r="CV48" s="41">
        <v>51.2</v>
      </c>
      <c r="CW48" s="40">
        <f t="shared" si="44"/>
        <v>5.8</v>
      </c>
      <c r="CX48" s="41" t="s">
        <v>25</v>
      </c>
      <c r="CY48" s="40">
        <f t="shared" si="45"/>
        <v>12.7753304</v>
      </c>
      <c r="CZ48" s="41">
        <v>102.0</v>
      </c>
      <c r="DA48" s="1"/>
      <c r="DB48" s="1"/>
      <c r="DC48" s="1"/>
      <c r="DD48" s="1"/>
      <c r="DE48" s="1"/>
      <c r="DF48" s="1"/>
    </row>
    <row r="49">
      <c r="A49" s="40"/>
      <c r="B49" s="40"/>
      <c r="C49" s="41" t="s">
        <v>48</v>
      </c>
      <c r="D49" s="41" t="s">
        <v>23</v>
      </c>
      <c r="E49" s="41" t="s">
        <v>24</v>
      </c>
      <c r="F49" s="41" t="s">
        <v>25</v>
      </c>
      <c r="G49" s="41" t="s">
        <v>24</v>
      </c>
      <c r="H49" s="41" t="s">
        <v>26</v>
      </c>
      <c r="I49" s="41">
        <v>508.8</v>
      </c>
      <c r="J49" s="41">
        <v>580.2</v>
      </c>
      <c r="K49" s="40">
        <f t="shared" si="51"/>
        <v>71.4</v>
      </c>
      <c r="L49" s="41">
        <v>3.7</v>
      </c>
      <c r="M49" s="40">
        <f t="shared" si="52"/>
        <v>14.03301887</v>
      </c>
      <c r="N49" s="41">
        <v>98.0</v>
      </c>
      <c r="O49" s="1"/>
      <c r="P49" s="41"/>
      <c r="Q49" s="40"/>
      <c r="R49" s="40"/>
      <c r="S49" s="52"/>
      <c r="T49" s="41"/>
      <c r="U49" s="41"/>
      <c r="V49" s="41"/>
      <c r="W49" s="41"/>
      <c r="X49" s="40"/>
      <c r="Y49" s="40"/>
      <c r="Z49" s="40">
        <f t="shared" si="61"/>
        <v>0</v>
      </c>
      <c r="AA49" s="40"/>
      <c r="AB49" s="40" t="str">
        <f t="shared" si="62"/>
        <v>#DIV/0!</v>
      </c>
      <c r="AC49" s="40"/>
      <c r="AD49" s="1"/>
      <c r="AE49" s="64"/>
      <c r="AF49" s="64"/>
      <c r="AG49" s="65" t="s">
        <v>227</v>
      </c>
      <c r="AH49" s="65" t="s">
        <v>31</v>
      </c>
      <c r="AI49" s="65">
        <v>0.1</v>
      </c>
      <c r="AJ49" s="65">
        <v>0.3</v>
      </c>
      <c r="AK49" s="65">
        <v>0.4</v>
      </c>
      <c r="AL49" s="65" t="s">
        <v>32</v>
      </c>
      <c r="AM49" s="65">
        <v>66.9</v>
      </c>
      <c r="AN49" s="65">
        <v>70.0</v>
      </c>
      <c r="AO49" s="64">
        <f t="shared" ref="AO49:AO56" si="63">AN49-AM49</f>
        <v>3.1</v>
      </c>
      <c r="AP49" s="65">
        <v>1.1</v>
      </c>
      <c r="AQ49" s="64">
        <f t="shared" ref="AQ49:AQ56" si="64">AN49*100/AM49-100</f>
        <v>4.633781764</v>
      </c>
      <c r="AR49" s="65">
        <v>283.0</v>
      </c>
      <c r="AS49" s="1"/>
      <c r="AT49" s="40"/>
      <c r="AU49" s="40"/>
      <c r="AV49" s="41" t="s">
        <v>228</v>
      </c>
      <c r="AW49" s="41" t="s">
        <v>68</v>
      </c>
      <c r="AX49" s="41">
        <v>0.4</v>
      </c>
      <c r="AY49" s="41" t="s">
        <v>25</v>
      </c>
      <c r="AZ49" s="41">
        <v>0.4</v>
      </c>
      <c r="BA49" s="41" t="s">
        <v>32</v>
      </c>
      <c r="BB49" s="41">
        <v>344.3</v>
      </c>
      <c r="BC49" s="41">
        <v>354.7</v>
      </c>
      <c r="BD49" s="40">
        <f t="shared" si="57"/>
        <v>10.4</v>
      </c>
      <c r="BE49" s="41">
        <v>357.0</v>
      </c>
      <c r="BF49" s="40">
        <f t="shared" si="58"/>
        <v>3.020621551</v>
      </c>
      <c r="BG49" s="41">
        <v>173.0</v>
      </c>
      <c r="BH49" s="1"/>
      <c r="BI49" s="47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5"/>
      <c r="BW49" s="1"/>
      <c r="BX49" s="40"/>
      <c r="BY49" s="40"/>
      <c r="BZ49" s="41" t="s">
        <v>160</v>
      </c>
      <c r="CA49" s="41" t="s">
        <v>37</v>
      </c>
      <c r="CB49" s="41">
        <v>0.2</v>
      </c>
      <c r="CC49" s="41">
        <v>0.550000000000002</v>
      </c>
      <c r="CD49" s="41">
        <v>0.75</v>
      </c>
      <c r="CE49" s="41" t="s">
        <v>32</v>
      </c>
      <c r="CF49" s="41">
        <v>55.65</v>
      </c>
      <c r="CG49" s="41">
        <v>57.5</v>
      </c>
      <c r="CH49" s="40">
        <f t="shared" si="59"/>
        <v>1.85</v>
      </c>
      <c r="CI49" s="41" t="s">
        <v>25</v>
      </c>
      <c r="CJ49" s="40">
        <f t="shared" si="60"/>
        <v>3.324348607</v>
      </c>
      <c r="CK49" s="41">
        <v>206.0</v>
      </c>
      <c r="CL49" s="1"/>
      <c r="CM49" s="40"/>
      <c r="CN49" s="40"/>
      <c r="CO49" s="41" t="s">
        <v>196</v>
      </c>
      <c r="CP49" s="41" t="s">
        <v>40</v>
      </c>
      <c r="CQ49" s="41">
        <v>0.35</v>
      </c>
      <c r="CR49" s="41" t="s">
        <v>25</v>
      </c>
      <c r="CS49" s="41">
        <v>0.35</v>
      </c>
      <c r="CT49" s="41" t="s">
        <v>26</v>
      </c>
      <c r="CU49" s="41">
        <v>46.65</v>
      </c>
      <c r="CV49" s="41">
        <v>52.5</v>
      </c>
      <c r="CW49" s="40">
        <f t="shared" si="44"/>
        <v>5.85</v>
      </c>
      <c r="CX49" s="41">
        <v>0.5</v>
      </c>
      <c r="CY49" s="40">
        <f t="shared" si="45"/>
        <v>12.54019293</v>
      </c>
      <c r="CZ49" s="41">
        <v>102.0</v>
      </c>
      <c r="DA49" s="1"/>
      <c r="DB49" s="1"/>
      <c r="DC49" s="1"/>
      <c r="DD49" s="1"/>
      <c r="DE49" s="1"/>
      <c r="DF49" s="1"/>
    </row>
    <row r="50">
      <c r="A50" s="40"/>
      <c r="B50" s="40"/>
      <c r="C50" s="41" t="s">
        <v>229</v>
      </c>
      <c r="D50" s="41" t="s">
        <v>23</v>
      </c>
      <c r="E50" s="41" t="s">
        <v>24</v>
      </c>
      <c r="F50" s="41" t="s">
        <v>25</v>
      </c>
      <c r="G50" s="41" t="s">
        <v>24</v>
      </c>
      <c r="H50" s="41" t="s">
        <v>32</v>
      </c>
      <c r="I50" s="41">
        <v>94.2</v>
      </c>
      <c r="J50" s="41">
        <v>101.8</v>
      </c>
      <c r="K50" s="40">
        <f t="shared" si="51"/>
        <v>7.6</v>
      </c>
      <c r="L50" s="41">
        <v>0.9</v>
      </c>
      <c r="M50" s="40">
        <f t="shared" si="52"/>
        <v>8.067940552</v>
      </c>
      <c r="N50" s="41">
        <v>101.0</v>
      </c>
      <c r="O50" s="1"/>
      <c r="P50" s="41"/>
      <c r="Q50" s="40"/>
      <c r="R50" s="40"/>
      <c r="S50" s="52"/>
      <c r="T50" s="41"/>
      <c r="U50" s="41"/>
      <c r="V50" s="41"/>
      <c r="W50" s="41"/>
      <c r="X50" s="40"/>
      <c r="Y50" s="40"/>
      <c r="Z50" s="40">
        <f t="shared" si="61"/>
        <v>0</v>
      </c>
      <c r="AA50" s="40"/>
      <c r="AB50" s="40" t="str">
        <f t="shared" si="62"/>
        <v>#DIV/0!</v>
      </c>
      <c r="AC50" s="40"/>
      <c r="AD50" s="1"/>
      <c r="AE50" s="64"/>
      <c r="AF50" s="64"/>
      <c r="AG50" s="65" t="s">
        <v>230</v>
      </c>
      <c r="AH50" s="65" t="s">
        <v>31</v>
      </c>
      <c r="AI50" s="65">
        <v>0.1</v>
      </c>
      <c r="AJ50" s="65">
        <v>0.3</v>
      </c>
      <c r="AK50" s="65">
        <v>0.4</v>
      </c>
      <c r="AL50" s="65" t="s">
        <v>32</v>
      </c>
      <c r="AM50" s="65">
        <v>110.5</v>
      </c>
      <c r="AN50" s="65">
        <v>116.6</v>
      </c>
      <c r="AO50" s="64">
        <f t="shared" si="63"/>
        <v>6.1</v>
      </c>
      <c r="AP50" s="65">
        <v>6.1</v>
      </c>
      <c r="AQ50" s="64">
        <f t="shared" si="64"/>
        <v>5.520361991</v>
      </c>
      <c r="AR50" s="65">
        <v>284.0</v>
      </c>
      <c r="AS50" s="1"/>
      <c r="AT50" s="40"/>
      <c r="AU50" s="40"/>
      <c r="AV50" s="41" t="s">
        <v>231</v>
      </c>
      <c r="AW50" s="41" t="s">
        <v>68</v>
      </c>
      <c r="AX50" s="41">
        <v>0.4</v>
      </c>
      <c r="AY50" s="41" t="s">
        <v>25</v>
      </c>
      <c r="AZ50" s="41">
        <v>0.4</v>
      </c>
      <c r="BA50" s="41" t="s">
        <v>32</v>
      </c>
      <c r="BB50" s="41">
        <v>500.1</v>
      </c>
      <c r="BC50" s="41">
        <v>512.9</v>
      </c>
      <c r="BD50" s="40">
        <f t="shared" si="57"/>
        <v>12.8</v>
      </c>
      <c r="BE50" s="41">
        <v>4.2</v>
      </c>
      <c r="BF50" s="40">
        <f t="shared" si="58"/>
        <v>2.559488102</v>
      </c>
      <c r="BG50" s="41">
        <v>173.0</v>
      </c>
      <c r="BH50" s="1"/>
      <c r="BI50" s="37" t="s">
        <v>232</v>
      </c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5"/>
      <c r="BW50" s="1"/>
      <c r="BX50" s="40"/>
      <c r="BY50" s="40"/>
      <c r="BZ50" s="41" t="s">
        <v>45</v>
      </c>
      <c r="CA50" s="41" t="s">
        <v>37</v>
      </c>
      <c r="CB50" s="41">
        <v>0.2</v>
      </c>
      <c r="CC50" s="41">
        <v>0.550000000000002</v>
      </c>
      <c r="CD50" s="41">
        <v>0.75</v>
      </c>
      <c r="CE50" s="41" t="s">
        <v>32</v>
      </c>
      <c r="CF50" s="41">
        <v>66.4</v>
      </c>
      <c r="CG50" s="41">
        <v>73.6</v>
      </c>
      <c r="CH50" s="40">
        <f t="shared" si="59"/>
        <v>7.2</v>
      </c>
      <c r="CI50" s="41">
        <v>0.2</v>
      </c>
      <c r="CJ50" s="40">
        <f t="shared" si="60"/>
        <v>10.84337349</v>
      </c>
      <c r="CK50" s="41">
        <v>206.0</v>
      </c>
      <c r="CL50" s="1"/>
      <c r="CM50" s="40"/>
      <c r="CN50" s="40"/>
      <c r="CO50" s="41" t="s">
        <v>192</v>
      </c>
      <c r="CP50" s="41" t="s">
        <v>40</v>
      </c>
      <c r="CQ50" s="41">
        <v>0.45</v>
      </c>
      <c r="CR50" s="41" t="s">
        <v>25</v>
      </c>
      <c r="CS50" s="41">
        <v>0.45</v>
      </c>
      <c r="CT50" s="41" t="s">
        <v>26</v>
      </c>
      <c r="CU50" s="41">
        <v>23.6</v>
      </c>
      <c r="CV50" s="41">
        <v>25.6</v>
      </c>
      <c r="CW50" s="40">
        <f t="shared" si="44"/>
        <v>2</v>
      </c>
      <c r="CX50" s="41" t="s">
        <v>25</v>
      </c>
      <c r="CY50" s="40">
        <f t="shared" si="45"/>
        <v>8.474576271</v>
      </c>
      <c r="CZ50" s="41">
        <v>102.0</v>
      </c>
      <c r="DA50" s="1"/>
      <c r="DB50" s="1"/>
      <c r="DC50" s="1"/>
      <c r="DD50" s="1"/>
      <c r="DE50" s="1"/>
      <c r="DF50" s="1"/>
    </row>
    <row r="51">
      <c r="A51" s="40"/>
      <c r="B51" s="40"/>
      <c r="C51" s="41" t="s">
        <v>233</v>
      </c>
      <c r="D51" s="41" t="s">
        <v>23</v>
      </c>
      <c r="E51" s="41" t="s">
        <v>24</v>
      </c>
      <c r="F51" s="41" t="s">
        <v>25</v>
      </c>
      <c r="G51" s="41" t="s">
        <v>24</v>
      </c>
      <c r="H51" s="41" t="s">
        <v>26</v>
      </c>
      <c r="I51" s="41">
        <v>720.5</v>
      </c>
      <c r="J51" s="41">
        <v>761.0</v>
      </c>
      <c r="K51" s="40">
        <f t="shared" si="51"/>
        <v>40.5</v>
      </c>
      <c r="L51" s="41">
        <v>37.3</v>
      </c>
      <c r="M51" s="42">
        <f t="shared" si="52"/>
        <v>5.621096461</v>
      </c>
      <c r="N51" s="41">
        <v>103.0</v>
      </c>
      <c r="O51" s="1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1"/>
      <c r="AE51" s="64"/>
      <c r="AF51" s="64"/>
      <c r="AG51" s="65" t="s">
        <v>234</v>
      </c>
      <c r="AH51" s="65" t="s">
        <v>31</v>
      </c>
      <c r="AI51" s="65">
        <v>0.1</v>
      </c>
      <c r="AJ51" s="65">
        <v>0.3</v>
      </c>
      <c r="AK51" s="65">
        <v>0.4</v>
      </c>
      <c r="AL51" s="65" t="s">
        <v>32</v>
      </c>
      <c r="AM51" s="65" t="s">
        <v>25</v>
      </c>
      <c r="AN51" s="65">
        <v>225.1</v>
      </c>
      <c r="AO51" s="64" t="str">
        <f t="shared" si="63"/>
        <v>#VALUE!</v>
      </c>
      <c r="AP51" s="65">
        <v>8.1</v>
      </c>
      <c r="AQ51" s="64" t="str">
        <f t="shared" si="64"/>
        <v>#VALUE!</v>
      </c>
      <c r="AR51" s="65">
        <v>286.0</v>
      </c>
      <c r="AS51" s="1"/>
      <c r="AT51" s="40"/>
      <c r="AU51" s="40"/>
      <c r="AV51" s="41" t="s">
        <v>179</v>
      </c>
      <c r="AW51" s="41" t="s">
        <v>68</v>
      </c>
      <c r="AX51" s="41">
        <v>0.35</v>
      </c>
      <c r="AY51" s="41" t="s">
        <v>25</v>
      </c>
      <c r="AZ51" s="41">
        <v>0.35</v>
      </c>
      <c r="BA51" s="41" t="s">
        <v>32</v>
      </c>
      <c r="BB51" s="41">
        <v>69.3</v>
      </c>
      <c r="BC51" s="41">
        <v>71.1</v>
      </c>
      <c r="BD51" s="40">
        <f t="shared" si="57"/>
        <v>1.8</v>
      </c>
      <c r="BE51" s="41">
        <v>0.4</v>
      </c>
      <c r="BF51" s="40">
        <f t="shared" si="58"/>
        <v>2.597402597</v>
      </c>
      <c r="BG51" s="41">
        <v>181.0</v>
      </c>
      <c r="BH51" s="1"/>
      <c r="BI51" s="40"/>
      <c r="BJ51" s="40"/>
      <c r="BK51" s="41" t="s">
        <v>36</v>
      </c>
      <c r="BL51" s="41" t="s">
        <v>35</v>
      </c>
      <c r="BM51" s="41">
        <v>0.65</v>
      </c>
      <c r="BN51" s="41" t="s">
        <v>25</v>
      </c>
      <c r="BO51" s="41">
        <v>0.65</v>
      </c>
      <c r="BP51" s="41" t="s">
        <v>32</v>
      </c>
      <c r="BQ51" s="41">
        <v>177.3</v>
      </c>
      <c r="BR51" s="41">
        <v>184.2</v>
      </c>
      <c r="BS51" s="40">
        <f t="shared" ref="BS51:BS56" si="65">BR51-BQ51</f>
        <v>6.9</v>
      </c>
      <c r="BT51" s="41">
        <v>2.0</v>
      </c>
      <c r="BU51" s="40">
        <f t="shared" ref="BU51:BU56" si="66">BR51*100/BQ51-100</f>
        <v>3.891708968</v>
      </c>
      <c r="BV51" s="41">
        <v>167.0</v>
      </c>
      <c r="BW51" s="1"/>
      <c r="BX51" s="40"/>
      <c r="BY51" s="40"/>
      <c r="BZ51" s="41" t="s">
        <v>51</v>
      </c>
      <c r="CA51" s="41" t="s">
        <v>37</v>
      </c>
      <c r="CB51" s="41">
        <v>0.2</v>
      </c>
      <c r="CC51" s="41">
        <v>0.550000000000002</v>
      </c>
      <c r="CD51" s="41">
        <v>0.75</v>
      </c>
      <c r="CE51" s="41" t="s">
        <v>32</v>
      </c>
      <c r="CF51" s="41">
        <v>59.95</v>
      </c>
      <c r="CG51" s="41">
        <v>63.6</v>
      </c>
      <c r="CH51" s="40">
        <f t="shared" si="59"/>
        <v>3.65</v>
      </c>
      <c r="CI51" s="41">
        <v>0.45</v>
      </c>
      <c r="CJ51" s="40">
        <f t="shared" si="60"/>
        <v>6.088407006</v>
      </c>
      <c r="CK51" s="41">
        <v>212.0</v>
      </c>
      <c r="CL51" s="1"/>
      <c r="CM51" s="40"/>
      <c r="CN51" s="40"/>
      <c r="CO51" s="41" t="s">
        <v>163</v>
      </c>
      <c r="CP51" s="41" t="s">
        <v>40</v>
      </c>
      <c r="CQ51" s="41">
        <v>0.35</v>
      </c>
      <c r="CR51" s="41" t="s">
        <v>25</v>
      </c>
      <c r="CS51" s="41">
        <v>0.35</v>
      </c>
      <c r="CT51" s="41" t="s">
        <v>26</v>
      </c>
      <c r="CU51" s="41">
        <v>17.1</v>
      </c>
      <c r="CV51" s="41">
        <v>18.4</v>
      </c>
      <c r="CW51" s="40">
        <f t="shared" si="44"/>
        <v>1.3</v>
      </c>
      <c r="CX51" s="41" t="s">
        <v>25</v>
      </c>
      <c r="CY51" s="40">
        <f t="shared" si="45"/>
        <v>7.602339181</v>
      </c>
      <c r="CZ51" s="41">
        <v>102.0</v>
      </c>
      <c r="DA51" s="1"/>
      <c r="DB51" s="1"/>
      <c r="DC51" s="1"/>
      <c r="DD51" s="1"/>
      <c r="DE51" s="1"/>
      <c r="DF51" s="1"/>
    </row>
    <row r="52">
      <c r="A52" s="40"/>
      <c r="B52" s="40"/>
      <c r="C52" s="41" t="s">
        <v>235</v>
      </c>
      <c r="D52" s="41" t="s">
        <v>23</v>
      </c>
      <c r="E52" s="41" t="s">
        <v>24</v>
      </c>
      <c r="F52" s="41" t="s">
        <v>25</v>
      </c>
      <c r="G52" s="41" t="s">
        <v>24</v>
      </c>
      <c r="H52" s="41" t="s">
        <v>26</v>
      </c>
      <c r="I52" s="41">
        <v>96.1</v>
      </c>
      <c r="J52" s="41">
        <v>103.8</v>
      </c>
      <c r="K52" s="40">
        <f t="shared" si="51"/>
        <v>7.7</v>
      </c>
      <c r="L52" s="41">
        <v>1.5</v>
      </c>
      <c r="M52" s="40">
        <f t="shared" si="52"/>
        <v>8.012486993</v>
      </c>
      <c r="N52" s="41">
        <v>105.0</v>
      </c>
      <c r="O52" s="1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1"/>
      <c r="AE52" s="1"/>
      <c r="AF52" s="1"/>
      <c r="AG52" s="57" t="s">
        <v>201</v>
      </c>
      <c r="AH52" s="65" t="s">
        <v>31</v>
      </c>
      <c r="AI52" s="65">
        <v>0.1</v>
      </c>
      <c r="AJ52" s="65">
        <v>0.3</v>
      </c>
      <c r="AK52" s="65">
        <v>0.4</v>
      </c>
      <c r="AL52" s="65" t="s">
        <v>32</v>
      </c>
      <c r="AM52" s="57">
        <v>154.0</v>
      </c>
      <c r="AN52" s="57">
        <v>159.9</v>
      </c>
      <c r="AO52" s="64">
        <f t="shared" si="63"/>
        <v>5.9</v>
      </c>
      <c r="AP52" s="65">
        <v>5.7</v>
      </c>
      <c r="AQ52" s="64">
        <f t="shared" si="64"/>
        <v>3.831168831</v>
      </c>
      <c r="AR52" s="57">
        <v>287.0</v>
      </c>
      <c r="AS52" s="1"/>
      <c r="AT52" s="40"/>
      <c r="AU52" s="40"/>
      <c r="AV52" s="41" t="s">
        <v>236</v>
      </c>
      <c r="AW52" s="41" t="s">
        <v>68</v>
      </c>
      <c r="AX52" s="41">
        <v>0.35</v>
      </c>
      <c r="AY52" s="41" t="s">
        <v>25</v>
      </c>
      <c r="AZ52" s="41">
        <v>0.35</v>
      </c>
      <c r="BA52" s="41" t="s">
        <v>26</v>
      </c>
      <c r="BB52" s="41">
        <v>21.1</v>
      </c>
      <c r="BC52" s="41">
        <v>21.7</v>
      </c>
      <c r="BD52" s="40">
        <f t="shared" si="57"/>
        <v>0.6</v>
      </c>
      <c r="BE52" s="41">
        <v>0.4</v>
      </c>
      <c r="BF52" s="40">
        <f t="shared" si="58"/>
        <v>2.843601896</v>
      </c>
      <c r="BG52" s="41">
        <v>184.0</v>
      </c>
      <c r="BH52" s="1"/>
      <c r="BI52" s="40"/>
      <c r="BJ52" s="40"/>
      <c r="BK52" s="41" t="s">
        <v>50</v>
      </c>
      <c r="BL52" s="41" t="s">
        <v>35</v>
      </c>
      <c r="BM52" s="41">
        <v>0.65</v>
      </c>
      <c r="BN52" s="41" t="s">
        <v>25</v>
      </c>
      <c r="BO52" s="41">
        <v>0.65</v>
      </c>
      <c r="BP52" s="41" t="s">
        <v>26</v>
      </c>
      <c r="BQ52" s="41">
        <v>191.7</v>
      </c>
      <c r="BR52" s="41">
        <v>208.6</v>
      </c>
      <c r="BS52" s="40">
        <f t="shared" si="65"/>
        <v>16.9</v>
      </c>
      <c r="BT52" s="41">
        <v>0.9</v>
      </c>
      <c r="BU52" s="40">
        <f t="shared" si="66"/>
        <v>8.815858112</v>
      </c>
      <c r="BV52" s="41" t="s">
        <v>237</v>
      </c>
      <c r="BW52" s="1"/>
      <c r="BX52" s="40"/>
      <c r="BY52" s="40"/>
      <c r="BZ52" s="41" t="s">
        <v>51</v>
      </c>
      <c r="CA52" s="41" t="s">
        <v>37</v>
      </c>
      <c r="CB52" s="41">
        <v>0.2</v>
      </c>
      <c r="CC52" s="41">
        <v>0.550000000000002</v>
      </c>
      <c r="CD52" s="41">
        <v>0.75</v>
      </c>
      <c r="CE52" s="41" t="s">
        <v>32</v>
      </c>
      <c r="CF52" s="41">
        <v>108.4</v>
      </c>
      <c r="CG52" s="41">
        <v>115.7</v>
      </c>
      <c r="CH52" s="40">
        <f t="shared" si="59"/>
        <v>7.3</v>
      </c>
      <c r="CI52" s="41">
        <v>0.9</v>
      </c>
      <c r="CJ52" s="40">
        <f t="shared" si="60"/>
        <v>6.734317343</v>
      </c>
      <c r="CK52" s="41">
        <v>219.0</v>
      </c>
      <c r="CL52" s="1"/>
      <c r="CM52" s="40"/>
      <c r="CN52" s="40"/>
      <c r="CO52" s="41" t="s">
        <v>48</v>
      </c>
      <c r="CP52" s="41" t="s">
        <v>40</v>
      </c>
      <c r="CQ52" s="41">
        <v>0.45</v>
      </c>
      <c r="CR52" s="41" t="s">
        <v>25</v>
      </c>
      <c r="CS52" s="41">
        <v>0.45</v>
      </c>
      <c r="CT52" s="41" t="s">
        <v>26</v>
      </c>
      <c r="CU52" s="41">
        <v>24.8</v>
      </c>
      <c r="CV52" s="41">
        <v>27.2</v>
      </c>
      <c r="CW52" s="40">
        <f t="shared" si="44"/>
        <v>2.4</v>
      </c>
      <c r="CX52" s="41" t="s">
        <v>25</v>
      </c>
      <c r="CY52" s="40">
        <f t="shared" si="45"/>
        <v>9.677419355</v>
      </c>
      <c r="CZ52" s="41">
        <v>102.0</v>
      </c>
      <c r="DA52" s="1"/>
      <c r="DB52" s="1"/>
      <c r="DC52" s="1"/>
      <c r="DD52" s="1"/>
      <c r="DE52" s="1"/>
      <c r="DF52" s="1"/>
    </row>
    <row r="53">
      <c r="A53" s="40"/>
      <c r="B53" s="40"/>
      <c r="C53" s="41" t="s">
        <v>50</v>
      </c>
      <c r="D53" s="41" t="s">
        <v>23</v>
      </c>
      <c r="E53" s="41" t="s">
        <v>24</v>
      </c>
      <c r="F53" s="41" t="s">
        <v>25</v>
      </c>
      <c r="G53" s="41" t="s">
        <v>24</v>
      </c>
      <c r="H53" s="41" t="s">
        <v>26</v>
      </c>
      <c r="I53" s="41">
        <v>92.1</v>
      </c>
      <c r="J53" s="41">
        <v>99.5</v>
      </c>
      <c r="K53" s="40">
        <f t="shared" si="51"/>
        <v>7.4</v>
      </c>
      <c r="L53" s="41">
        <v>1.3</v>
      </c>
      <c r="M53" s="40">
        <f t="shared" si="52"/>
        <v>8.034744843</v>
      </c>
      <c r="N53" s="41">
        <v>105.0</v>
      </c>
      <c r="O53" s="1"/>
      <c r="P53" s="41"/>
      <c r="Q53" s="40"/>
      <c r="R53" s="41"/>
      <c r="S53" s="41"/>
      <c r="T53" s="41"/>
      <c r="U53" s="41"/>
      <c r="V53" s="41"/>
      <c r="W53" s="41"/>
      <c r="X53" s="41"/>
      <c r="Y53" s="41"/>
      <c r="Z53" s="40"/>
      <c r="AA53" s="41"/>
      <c r="AB53" s="40"/>
      <c r="AC53" s="41"/>
      <c r="AD53" s="1"/>
      <c r="AE53" s="64"/>
      <c r="AF53" s="64"/>
      <c r="AG53" s="65" t="s">
        <v>238</v>
      </c>
      <c r="AH53" s="65" t="s">
        <v>31</v>
      </c>
      <c r="AI53" s="65">
        <v>0.1</v>
      </c>
      <c r="AJ53" s="65">
        <v>0.3</v>
      </c>
      <c r="AK53" s="65">
        <v>0.4</v>
      </c>
      <c r="AL53" s="65" t="s">
        <v>32</v>
      </c>
      <c r="AM53" s="65">
        <v>366.7</v>
      </c>
      <c r="AN53" s="65">
        <v>375.0</v>
      </c>
      <c r="AO53" s="64">
        <f t="shared" si="63"/>
        <v>8.3</v>
      </c>
      <c r="AP53" s="65">
        <v>10.8</v>
      </c>
      <c r="AQ53" s="64">
        <f t="shared" si="64"/>
        <v>2.263430597</v>
      </c>
      <c r="AR53" s="65">
        <v>290.0</v>
      </c>
      <c r="AS53" s="1"/>
      <c r="AT53" s="40"/>
      <c r="AU53" s="40"/>
      <c r="AV53" s="41" t="s">
        <v>239</v>
      </c>
      <c r="AW53" s="41" t="s">
        <v>68</v>
      </c>
      <c r="AX53" s="41">
        <v>0.4</v>
      </c>
      <c r="AY53" s="41" t="s">
        <v>25</v>
      </c>
      <c r="AZ53" s="41">
        <v>0.4</v>
      </c>
      <c r="BA53" s="41" t="s">
        <v>26</v>
      </c>
      <c r="BB53" s="41">
        <v>21.2</v>
      </c>
      <c r="BC53" s="41">
        <v>21.8</v>
      </c>
      <c r="BD53" s="40">
        <f t="shared" si="57"/>
        <v>0.6</v>
      </c>
      <c r="BE53" s="41">
        <v>0.2</v>
      </c>
      <c r="BF53" s="40">
        <f t="shared" si="58"/>
        <v>2.830188679</v>
      </c>
      <c r="BG53" s="41">
        <v>185.0</v>
      </c>
      <c r="BH53" s="1"/>
      <c r="BI53" s="40"/>
      <c r="BJ53" s="40"/>
      <c r="BK53" s="41" t="s">
        <v>44</v>
      </c>
      <c r="BL53" s="41" t="s">
        <v>35</v>
      </c>
      <c r="BM53" s="41">
        <v>0.649999999999999</v>
      </c>
      <c r="BN53" s="41" t="s">
        <v>25</v>
      </c>
      <c r="BO53" s="41">
        <v>0.649999999999999</v>
      </c>
      <c r="BP53" s="41" t="s">
        <v>26</v>
      </c>
      <c r="BQ53" s="41">
        <v>443.9</v>
      </c>
      <c r="BR53" s="41">
        <v>532.5</v>
      </c>
      <c r="BS53" s="40">
        <f t="shared" si="65"/>
        <v>88.6</v>
      </c>
      <c r="BT53" s="41">
        <v>4.3</v>
      </c>
      <c r="BU53" s="40">
        <f t="shared" si="66"/>
        <v>19.95945033</v>
      </c>
      <c r="BV53" s="41" t="s">
        <v>240</v>
      </c>
      <c r="BW53" s="1"/>
      <c r="BX53" s="40"/>
      <c r="BY53" s="40"/>
      <c r="BZ53" s="41" t="s">
        <v>51</v>
      </c>
      <c r="CA53" s="41" t="s">
        <v>37</v>
      </c>
      <c r="CB53" s="41">
        <v>0.2</v>
      </c>
      <c r="CC53" s="41">
        <v>0.550000000000002</v>
      </c>
      <c r="CD53" s="41">
        <v>0.75</v>
      </c>
      <c r="CE53" s="41" t="s">
        <v>32</v>
      </c>
      <c r="CF53" s="41">
        <v>218.4</v>
      </c>
      <c r="CG53" s="41">
        <v>234.2</v>
      </c>
      <c r="CH53" s="40">
        <f t="shared" si="59"/>
        <v>15.8</v>
      </c>
      <c r="CI53" s="41">
        <v>1.4</v>
      </c>
      <c r="CJ53" s="40">
        <f t="shared" si="60"/>
        <v>7.234432234</v>
      </c>
      <c r="CK53" s="41" t="s">
        <v>241</v>
      </c>
      <c r="CL53" s="1"/>
      <c r="CM53" s="47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5"/>
      <c r="DA53" s="1"/>
      <c r="DB53" s="1"/>
      <c r="DC53" s="1"/>
      <c r="DD53" s="1"/>
      <c r="DE53" s="1"/>
      <c r="DF53" s="1"/>
    </row>
    <row r="54">
      <c r="A54" s="40"/>
      <c r="B54" s="40"/>
      <c r="C54" s="41" t="s">
        <v>242</v>
      </c>
      <c r="D54" s="41" t="s">
        <v>23</v>
      </c>
      <c r="E54" s="41" t="s">
        <v>24</v>
      </c>
      <c r="F54" s="41" t="s">
        <v>25</v>
      </c>
      <c r="G54" s="41" t="s">
        <v>24</v>
      </c>
      <c r="H54" s="41" t="s">
        <v>26</v>
      </c>
      <c r="I54" s="41">
        <v>122.9</v>
      </c>
      <c r="J54" s="41">
        <v>132.4</v>
      </c>
      <c r="K54" s="40">
        <f t="shared" si="51"/>
        <v>9.5</v>
      </c>
      <c r="L54" s="41">
        <v>11.8</v>
      </c>
      <c r="M54" s="40">
        <f t="shared" si="52"/>
        <v>7.729861676</v>
      </c>
      <c r="N54" s="41">
        <v>105.0</v>
      </c>
      <c r="O54" s="1"/>
      <c r="P54" s="41"/>
      <c r="Q54" s="40"/>
      <c r="R54" s="41"/>
      <c r="S54" s="41"/>
      <c r="T54" s="41"/>
      <c r="U54" s="41"/>
      <c r="V54" s="41"/>
      <c r="W54" s="41"/>
      <c r="X54" s="41"/>
      <c r="Y54" s="41"/>
      <c r="Z54" s="40"/>
      <c r="AA54" s="41"/>
      <c r="AB54" s="40"/>
      <c r="AC54" s="41"/>
      <c r="AD54" s="1"/>
      <c r="AE54" s="64"/>
      <c r="AF54" s="64"/>
      <c r="AG54" s="65" t="s">
        <v>211</v>
      </c>
      <c r="AH54" s="65" t="s">
        <v>31</v>
      </c>
      <c r="AI54" s="65">
        <v>0.1</v>
      </c>
      <c r="AJ54" s="65">
        <v>0.3</v>
      </c>
      <c r="AK54" s="65">
        <v>0.4</v>
      </c>
      <c r="AL54" s="65" t="s">
        <v>32</v>
      </c>
      <c r="AM54" s="65">
        <v>105.2</v>
      </c>
      <c r="AN54" s="65">
        <v>111.1</v>
      </c>
      <c r="AO54" s="64">
        <f t="shared" si="63"/>
        <v>5.9</v>
      </c>
      <c r="AP54" s="65">
        <v>4.7</v>
      </c>
      <c r="AQ54" s="64">
        <f t="shared" si="64"/>
        <v>5.608365019</v>
      </c>
      <c r="AR54" s="65">
        <v>290.0</v>
      </c>
      <c r="AS54" s="1"/>
      <c r="AT54" s="40"/>
      <c r="AU54" s="40"/>
      <c r="AV54" s="41" t="s">
        <v>54</v>
      </c>
      <c r="AW54" s="41" t="s">
        <v>140</v>
      </c>
      <c r="AX54" s="41">
        <v>0.5</v>
      </c>
      <c r="AY54" s="41" t="s">
        <v>25</v>
      </c>
      <c r="AZ54" s="41">
        <v>0.5</v>
      </c>
      <c r="BA54" s="41" t="s">
        <v>32</v>
      </c>
      <c r="BB54" s="41">
        <v>95.8</v>
      </c>
      <c r="BC54" s="41">
        <v>99.7</v>
      </c>
      <c r="BD54" s="40">
        <f t="shared" si="57"/>
        <v>3.9</v>
      </c>
      <c r="BE54" s="41">
        <v>1.4</v>
      </c>
      <c r="BF54" s="40">
        <f t="shared" si="58"/>
        <v>4.070981211</v>
      </c>
      <c r="BG54" s="41">
        <v>186.0</v>
      </c>
      <c r="BH54" s="1"/>
      <c r="BI54" s="40"/>
      <c r="BJ54" s="40"/>
      <c r="BK54" s="41" t="s">
        <v>41</v>
      </c>
      <c r="BL54" s="41" t="s">
        <v>35</v>
      </c>
      <c r="BM54" s="41">
        <v>0.649999999999999</v>
      </c>
      <c r="BN54" s="41" t="s">
        <v>25</v>
      </c>
      <c r="BO54" s="41">
        <v>0.649999999999999</v>
      </c>
      <c r="BP54" s="41" t="s">
        <v>26</v>
      </c>
      <c r="BQ54" s="41">
        <v>230.3</v>
      </c>
      <c r="BR54" s="41">
        <v>243.4</v>
      </c>
      <c r="BS54" s="40">
        <f t="shared" si="65"/>
        <v>13.1</v>
      </c>
      <c r="BT54" s="41">
        <v>8.2</v>
      </c>
      <c r="BU54" s="40">
        <f t="shared" si="66"/>
        <v>5.68823274</v>
      </c>
      <c r="BV54" s="41">
        <v>174.0</v>
      </c>
      <c r="BW54" s="1"/>
      <c r="BX54" s="40"/>
      <c r="BY54" s="40"/>
      <c r="BZ54" s="41" t="s">
        <v>51</v>
      </c>
      <c r="CA54" s="41" t="s">
        <v>37</v>
      </c>
      <c r="CB54" s="41">
        <v>0.2</v>
      </c>
      <c r="CC54" s="41">
        <v>0.550000000000002</v>
      </c>
      <c r="CD54" s="41">
        <v>0.75</v>
      </c>
      <c r="CE54" s="41" t="s">
        <v>32</v>
      </c>
      <c r="CF54" s="41">
        <v>133.95</v>
      </c>
      <c r="CG54" s="41">
        <v>142.5</v>
      </c>
      <c r="CH54" s="40">
        <f t="shared" si="59"/>
        <v>8.55</v>
      </c>
      <c r="CI54" s="41">
        <v>0.65</v>
      </c>
      <c r="CJ54" s="40">
        <f t="shared" si="60"/>
        <v>6.382978723</v>
      </c>
      <c r="CK54" s="41">
        <v>239.0</v>
      </c>
      <c r="CL54" s="1"/>
      <c r="CM54" s="54" t="s">
        <v>243</v>
      </c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5"/>
      <c r="DA54" s="1"/>
      <c r="DB54" s="1"/>
      <c r="DC54" s="1"/>
      <c r="DD54" s="1"/>
      <c r="DE54" s="1"/>
      <c r="DF54" s="1"/>
    </row>
    <row r="55">
      <c r="A55" s="1"/>
      <c r="O55" s="1"/>
      <c r="P55" s="41"/>
      <c r="Q55" s="40"/>
      <c r="R55" s="41"/>
      <c r="S55" s="41"/>
      <c r="T55" s="41"/>
      <c r="U55" s="41"/>
      <c r="V55" s="41"/>
      <c r="W55" s="41"/>
      <c r="X55" s="41"/>
      <c r="Y55" s="41"/>
      <c r="Z55" s="40"/>
      <c r="AA55" s="41"/>
      <c r="AB55" s="40"/>
      <c r="AC55" s="41"/>
      <c r="AD55" s="1"/>
      <c r="AE55" s="64"/>
      <c r="AF55" s="64"/>
      <c r="AG55" s="65" t="s">
        <v>244</v>
      </c>
      <c r="AH55" s="65" t="s">
        <v>31</v>
      </c>
      <c r="AI55" s="65">
        <v>0.1</v>
      </c>
      <c r="AJ55" s="65">
        <v>0.3</v>
      </c>
      <c r="AK55" s="65">
        <v>0.4</v>
      </c>
      <c r="AL55" s="65" t="s">
        <v>32</v>
      </c>
      <c r="AM55" s="65">
        <v>108.2</v>
      </c>
      <c r="AN55" s="65">
        <v>111.4</v>
      </c>
      <c r="AO55" s="64">
        <f t="shared" si="63"/>
        <v>3.2</v>
      </c>
      <c r="AP55" s="65">
        <v>2.8</v>
      </c>
      <c r="AQ55" s="64">
        <f t="shared" si="64"/>
        <v>2.957486137</v>
      </c>
      <c r="AR55" s="65">
        <v>306.0</v>
      </c>
      <c r="AS55" s="1"/>
      <c r="AT55" s="40"/>
      <c r="AU55" s="40"/>
      <c r="AV55" s="41" t="s">
        <v>190</v>
      </c>
      <c r="AW55" s="41" t="s">
        <v>140</v>
      </c>
      <c r="AX55" s="41">
        <v>0.5</v>
      </c>
      <c r="AY55" s="41" t="s">
        <v>25</v>
      </c>
      <c r="AZ55" s="41">
        <v>0.5</v>
      </c>
      <c r="BA55" s="41" t="s">
        <v>32</v>
      </c>
      <c r="BB55" s="41">
        <v>39.6</v>
      </c>
      <c r="BC55" s="41">
        <v>41.1</v>
      </c>
      <c r="BD55" s="40">
        <f t="shared" si="57"/>
        <v>1.5</v>
      </c>
      <c r="BE55" s="41">
        <v>0.7</v>
      </c>
      <c r="BF55" s="40">
        <f t="shared" si="58"/>
        <v>3.787878788</v>
      </c>
      <c r="BG55" s="41">
        <v>186.0</v>
      </c>
      <c r="BH55" s="1"/>
      <c r="BI55" s="40"/>
      <c r="BJ55" s="40"/>
      <c r="BK55" s="41" t="s">
        <v>235</v>
      </c>
      <c r="BL55" s="41" t="s">
        <v>35</v>
      </c>
      <c r="BM55" s="41">
        <v>0.649999999999999</v>
      </c>
      <c r="BN55" s="41" t="s">
        <v>25</v>
      </c>
      <c r="BO55" s="41">
        <v>0.649999999999999</v>
      </c>
      <c r="BP55" s="41" t="s">
        <v>26</v>
      </c>
      <c r="BQ55" s="41">
        <v>112.75</v>
      </c>
      <c r="BR55" s="41">
        <v>124.6</v>
      </c>
      <c r="BS55" s="40">
        <f t="shared" si="65"/>
        <v>11.85</v>
      </c>
      <c r="BT55" s="41">
        <v>1.25</v>
      </c>
      <c r="BU55" s="40">
        <f t="shared" si="66"/>
        <v>10.50997783</v>
      </c>
      <c r="BV55" s="41">
        <v>178.0</v>
      </c>
      <c r="BW55" s="1"/>
      <c r="CL55" s="1"/>
      <c r="CM55" s="40"/>
      <c r="CN55" s="40"/>
      <c r="CO55" s="41" t="s">
        <v>245</v>
      </c>
      <c r="CP55" s="41" t="s">
        <v>85</v>
      </c>
      <c r="CQ55" s="41">
        <v>0.5</v>
      </c>
      <c r="CR55" s="41" t="s">
        <v>25</v>
      </c>
      <c r="CS55" s="41">
        <v>0.5</v>
      </c>
      <c r="CT55" s="41" t="s">
        <v>26</v>
      </c>
      <c r="CU55" s="41">
        <v>362.6</v>
      </c>
      <c r="CV55" s="41">
        <v>407.7</v>
      </c>
      <c r="CW55" s="40">
        <f t="shared" ref="CW55:CW64" si="67">CV55-CU55</f>
        <v>45.1</v>
      </c>
      <c r="CX55" s="41">
        <v>2.9</v>
      </c>
      <c r="CY55" s="40">
        <f t="shared" ref="CY55:CY64" si="68">CV55*100/CU55-100</f>
        <v>12.43794815</v>
      </c>
      <c r="CZ55" s="41">
        <v>113.0</v>
      </c>
      <c r="DA55" s="1"/>
      <c r="DB55" s="1"/>
      <c r="DC55" s="1"/>
      <c r="DD55" s="1"/>
      <c r="DE55" s="1"/>
      <c r="DF55" s="1"/>
    </row>
    <row r="56">
      <c r="A56" s="66" t="s">
        <v>246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5"/>
      <c r="O56" s="1"/>
      <c r="P56" s="41"/>
      <c r="Q56" s="40"/>
      <c r="R56" s="41"/>
      <c r="S56" s="41"/>
      <c r="T56" s="41"/>
      <c r="U56" s="41"/>
      <c r="V56" s="41"/>
      <c r="W56" s="41"/>
      <c r="X56" s="41"/>
      <c r="Y56" s="41"/>
      <c r="Z56" s="40"/>
      <c r="AA56" s="41"/>
      <c r="AB56" s="40"/>
      <c r="AC56" s="41"/>
      <c r="AD56" s="1"/>
      <c r="AE56" s="64"/>
      <c r="AF56" s="64"/>
      <c r="AG56" s="65" t="s">
        <v>247</v>
      </c>
      <c r="AH56" s="65" t="s">
        <v>31</v>
      </c>
      <c r="AI56" s="65">
        <v>0.1</v>
      </c>
      <c r="AJ56" s="65">
        <v>0.3</v>
      </c>
      <c r="AK56" s="65">
        <v>0.4</v>
      </c>
      <c r="AL56" s="65" t="s">
        <v>32</v>
      </c>
      <c r="AM56" s="65">
        <v>127.4</v>
      </c>
      <c r="AN56" s="65">
        <v>132.4</v>
      </c>
      <c r="AO56" s="64">
        <f t="shared" si="63"/>
        <v>5</v>
      </c>
      <c r="AP56" s="65">
        <v>2.1</v>
      </c>
      <c r="AQ56" s="64">
        <f t="shared" si="64"/>
        <v>3.924646782</v>
      </c>
      <c r="AR56" s="65">
        <v>318.0</v>
      </c>
      <c r="AS56" s="1"/>
      <c r="AT56" s="40"/>
      <c r="AU56" s="40"/>
      <c r="AV56" s="41" t="s">
        <v>248</v>
      </c>
      <c r="AW56" s="41" t="s">
        <v>75</v>
      </c>
      <c r="AX56" s="41">
        <v>0.4</v>
      </c>
      <c r="AY56" s="41" t="s">
        <v>25</v>
      </c>
      <c r="AZ56" s="41">
        <v>0.4</v>
      </c>
      <c r="BA56" s="41" t="s">
        <v>26</v>
      </c>
      <c r="BB56" s="41">
        <v>348.8</v>
      </c>
      <c r="BC56" s="41">
        <v>374.6</v>
      </c>
      <c r="BD56" s="40">
        <f t="shared" si="57"/>
        <v>25.8</v>
      </c>
      <c r="BE56" s="41">
        <v>4.0</v>
      </c>
      <c r="BF56" s="42">
        <f t="shared" si="58"/>
        <v>7.396788991</v>
      </c>
      <c r="BG56" s="41">
        <v>190.0</v>
      </c>
      <c r="BH56" s="1"/>
      <c r="BI56" s="40"/>
      <c r="BJ56" s="40"/>
      <c r="BK56" s="41" t="s">
        <v>63</v>
      </c>
      <c r="BL56" s="41" t="s">
        <v>35</v>
      </c>
      <c r="BM56" s="41">
        <v>0.649999999999999</v>
      </c>
      <c r="BN56" s="41" t="s">
        <v>25</v>
      </c>
      <c r="BO56" s="41">
        <v>0.649999999999999</v>
      </c>
      <c r="BP56" s="41" t="s">
        <v>26</v>
      </c>
      <c r="BQ56" s="41">
        <v>109.7</v>
      </c>
      <c r="BR56" s="41">
        <v>125.3</v>
      </c>
      <c r="BS56" s="40">
        <f t="shared" si="65"/>
        <v>15.6</v>
      </c>
      <c r="BT56" s="41">
        <v>0.9</v>
      </c>
      <c r="BU56" s="40">
        <f t="shared" si="66"/>
        <v>14.22060164</v>
      </c>
      <c r="BV56" s="41">
        <v>178.0</v>
      </c>
      <c r="BW56" s="1"/>
      <c r="BX56" s="38" t="s">
        <v>249</v>
      </c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5"/>
      <c r="CL56" s="1"/>
      <c r="CM56" s="40"/>
      <c r="CN56" s="40"/>
      <c r="CO56" s="41" t="s">
        <v>46</v>
      </c>
      <c r="CP56" s="41" t="s">
        <v>250</v>
      </c>
      <c r="CQ56" s="41">
        <v>0.45</v>
      </c>
      <c r="CR56" s="41" t="s">
        <v>25</v>
      </c>
      <c r="CS56" s="41">
        <v>0.45</v>
      </c>
      <c r="CT56" s="41" t="s">
        <v>26</v>
      </c>
      <c r="CU56" s="41">
        <v>23.4</v>
      </c>
      <c r="CV56" s="41">
        <v>25.1</v>
      </c>
      <c r="CW56" s="40">
        <f t="shared" si="67"/>
        <v>1.7</v>
      </c>
      <c r="CX56" s="41">
        <v>0.8</v>
      </c>
      <c r="CY56" s="40">
        <f t="shared" si="68"/>
        <v>7.264957265</v>
      </c>
      <c r="CZ56" s="41">
        <v>116.0</v>
      </c>
      <c r="DA56" s="1"/>
      <c r="DB56" s="1"/>
      <c r="DC56" s="1"/>
      <c r="DD56" s="1"/>
      <c r="DE56" s="1"/>
      <c r="DF56" s="1"/>
    </row>
    <row r="57">
      <c r="A57" s="40"/>
      <c r="B57" s="40"/>
      <c r="C57" s="41" t="s">
        <v>41</v>
      </c>
      <c r="D57" s="41" t="s">
        <v>23</v>
      </c>
      <c r="E57" s="41" t="s">
        <v>24</v>
      </c>
      <c r="F57" s="41" t="s">
        <v>25</v>
      </c>
      <c r="G57" s="41" t="s">
        <v>24</v>
      </c>
      <c r="H57" s="41" t="s">
        <v>26</v>
      </c>
      <c r="I57" s="41">
        <v>136.1</v>
      </c>
      <c r="J57" s="41">
        <v>149.2</v>
      </c>
      <c r="K57" s="40">
        <f t="shared" ref="K57:K72" si="69">J57-I57</f>
        <v>13.1</v>
      </c>
      <c r="L57" s="41">
        <v>1.5</v>
      </c>
      <c r="M57" s="40">
        <f t="shared" ref="M57:M72" si="70">J57*100/I57-100</f>
        <v>9.625275533</v>
      </c>
      <c r="N57" s="41">
        <v>119.0</v>
      </c>
      <c r="O57" s="1"/>
      <c r="P57" s="67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1"/>
      <c r="AE57" s="68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1"/>
      <c r="AS57" s="1"/>
      <c r="AT57" s="40"/>
      <c r="AU57" s="40"/>
      <c r="AV57" s="41" t="s">
        <v>251</v>
      </c>
      <c r="AW57" s="41" t="s">
        <v>140</v>
      </c>
      <c r="AX57" s="41">
        <v>0.35</v>
      </c>
      <c r="AY57" s="41" t="s">
        <v>25</v>
      </c>
      <c r="AZ57" s="41">
        <v>0.35</v>
      </c>
      <c r="BA57" s="41" t="s">
        <v>32</v>
      </c>
      <c r="BB57" s="41">
        <v>172.1</v>
      </c>
      <c r="BC57" s="41">
        <v>177.8</v>
      </c>
      <c r="BD57" s="40">
        <f t="shared" si="57"/>
        <v>5.7</v>
      </c>
      <c r="BE57" s="41">
        <v>0.9</v>
      </c>
      <c r="BF57" s="40">
        <f t="shared" si="58"/>
        <v>3.312027891</v>
      </c>
      <c r="BG57" s="41">
        <v>193.0</v>
      </c>
      <c r="BH57" s="1"/>
      <c r="BI57" s="47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5"/>
      <c r="BW57" s="1"/>
      <c r="BX57" s="40"/>
      <c r="BY57" s="40"/>
      <c r="BZ57" s="41" t="s">
        <v>34</v>
      </c>
      <c r="CA57" s="41" t="s">
        <v>37</v>
      </c>
      <c r="CB57" s="41">
        <v>0.2</v>
      </c>
      <c r="CC57" s="41">
        <v>0.550000000000002</v>
      </c>
      <c r="CD57" s="41">
        <v>0.75</v>
      </c>
      <c r="CE57" s="41" t="s">
        <v>32</v>
      </c>
      <c r="CF57" s="41">
        <v>65.4</v>
      </c>
      <c r="CG57" s="41">
        <v>70.9</v>
      </c>
      <c r="CH57" s="40">
        <f t="shared" ref="CH57:CH58" si="71">CG57-CF57</f>
        <v>5.5</v>
      </c>
      <c r="CI57" s="41">
        <v>0.9</v>
      </c>
      <c r="CJ57" s="40">
        <f t="shared" ref="CJ57:CJ58" si="72">CG57*100/CF57-100</f>
        <v>8.409785933</v>
      </c>
      <c r="CK57" s="41">
        <v>275.0</v>
      </c>
      <c r="CL57" s="1"/>
      <c r="CM57" s="40"/>
      <c r="CN57" s="40"/>
      <c r="CO57" s="41" t="s">
        <v>252</v>
      </c>
      <c r="CP57" s="41" t="s">
        <v>250</v>
      </c>
      <c r="CQ57" s="41">
        <v>0.45</v>
      </c>
      <c r="CR57" s="41" t="s">
        <v>25</v>
      </c>
      <c r="CS57" s="41">
        <v>0.45</v>
      </c>
      <c r="CT57" s="41" t="s">
        <v>26</v>
      </c>
      <c r="CU57" s="41">
        <v>93.7</v>
      </c>
      <c r="CV57" s="41">
        <v>100.4</v>
      </c>
      <c r="CW57" s="40">
        <f t="shared" si="67"/>
        <v>6.7</v>
      </c>
      <c r="CX57" s="41">
        <v>1.5</v>
      </c>
      <c r="CY57" s="40">
        <f t="shared" si="68"/>
        <v>7.150480256</v>
      </c>
      <c r="CZ57" s="41">
        <v>116.0</v>
      </c>
      <c r="DA57" s="1"/>
      <c r="DB57" s="1"/>
      <c r="DC57" s="1"/>
      <c r="DD57" s="1"/>
      <c r="DE57" s="1"/>
      <c r="DF57" s="1"/>
    </row>
    <row r="58">
      <c r="A58" s="40"/>
      <c r="B58" s="40"/>
      <c r="C58" s="41" t="s">
        <v>50</v>
      </c>
      <c r="D58" s="41" t="s">
        <v>23</v>
      </c>
      <c r="E58" s="41" t="s">
        <v>24</v>
      </c>
      <c r="F58" s="41" t="s">
        <v>25</v>
      </c>
      <c r="G58" s="41" t="s">
        <v>24</v>
      </c>
      <c r="H58" s="41" t="s">
        <v>26</v>
      </c>
      <c r="I58" s="41">
        <v>91.1</v>
      </c>
      <c r="J58" s="41">
        <v>103.2</v>
      </c>
      <c r="K58" s="40">
        <f t="shared" si="69"/>
        <v>12.1</v>
      </c>
      <c r="L58" s="41">
        <v>1.3</v>
      </c>
      <c r="M58" s="40">
        <f t="shared" si="70"/>
        <v>13.28210757</v>
      </c>
      <c r="N58" s="41">
        <v>119.0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69" t="s">
        <v>253</v>
      </c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1"/>
      <c r="AS58" s="1"/>
      <c r="AT58" s="40"/>
      <c r="AU58" s="40"/>
      <c r="AV58" s="41" t="s">
        <v>254</v>
      </c>
      <c r="AW58" s="41" t="s">
        <v>140</v>
      </c>
      <c r="AX58" s="41">
        <v>0.4</v>
      </c>
      <c r="AY58" s="41" t="s">
        <v>25</v>
      </c>
      <c r="AZ58" s="41">
        <v>0.4</v>
      </c>
      <c r="BA58" s="41" t="s">
        <v>32</v>
      </c>
      <c r="BB58" s="41">
        <v>210.5</v>
      </c>
      <c r="BC58" s="41">
        <v>220.9</v>
      </c>
      <c r="BD58" s="40">
        <f t="shared" si="57"/>
        <v>10.4</v>
      </c>
      <c r="BE58" s="41">
        <v>1.3</v>
      </c>
      <c r="BF58" s="40">
        <f t="shared" si="58"/>
        <v>4.940617577</v>
      </c>
      <c r="BG58" s="41">
        <v>193.0</v>
      </c>
      <c r="BH58" s="1"/>
      <c r="BI58" s="37" t="s">
        <v>255</v>
      </c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5"/>
      <c r="BW58" s="1"/>
      <c r="BX58" s="40"/>
      <c r="BY58" s="40"/>
      <c r="BZ58" s="41" t="s">
        <v>45</v>
      </c>
      <c r="CA58" s="41" t="s">
        <v>37</v>
      </c>
      <c r="CB58" s="41">
        <v>0.2</v>
      </c>
      <c r="CC58" s="41">
        <v>0.550000000000002</v>
      </c>
      <c r="CD58" s="41">
        <v>0.75</v>
      </c>
      <c r="CE58" s="41" t="s">
        <v>32</v>
      </c>
      <c r="CF58" s="41" t="s">
        <v>25</v>
      </c>
      <c r="CG58" s="41">
        <v>67.6</v>
      </c>
      <c r="CH58" s="40" t="str">
        <f t="shared" si="71"/>
        <v>#VALUE!</v>
      </c>
      <c r="CI58" s="41">
        <v>2.85</v>
      </c>
      <c r="CJ58" s="40" t="str">
        <f t="shared" si="72"/>
        <v>#VALUE!</v>
      </c>
      <c r="CK58" s="41">
        <v>275.0</v>
      </c>
      <c r="CL58" s="1"/>
      <c r="CM58" s="40"/>
      <c r="CN58" s="40"/>
      <c r="CO58" s="41" t="s">
        <v>256</v>
      </c>
      <c r="CP58" s="41" t="s">
        <v>85</v>
      </c>
      <c r="CQ58" s="41">
        <v>0.5</v>
      </c>
      <c r="CR58" s="41" t="s">
        <v>25</v>
      </c>
      <c r="CS58" s="41">
        <v>0.5</v>
      </c>
      <c r="CT58" s="41" t="s">
        <v>26</v>
      </c>
      <c r="CU58" s="41">
        <v>73.7</v>
      </c>
      <c r="CV58" s="41">
        <v>80.7</v>
      </c>
      <c r="CW58" s="40">
        <f t="shared" si="67"/>
        <v>7</v>
      </c>
      <c r="CX58" s="41">
        <v>0.2</v>
      </c>
      <c r="CY58" s="40">
        <f t="shared" si="68"/>
        <v>9.497964722</v>
      </c>
      <c r="CZ58" s="41">
        <v>116.0</v>
      </c>
      <c r="DA58" s="1"/>
      <c r="DB58" s="1"/>
      <c r="DC58" s="1"/>
      <c r="DD58" s="1"/>
      <c r="DE58" s="1"/>
      <c r="DF58" s="1"/>
    </row>
    <row r="59">
      <c r="A59" s="40"/>
      <c r="B59" s="40"/>
      <c r="C59" s="41" t="s">
        <v>77</v>
      </c>
      <c r="D59" s="41" t="s">
        <v>23</v>
      </c>
      <c r="E59" s="41" t="s">
        <v>24</v>
      </c>
      <c r="F59" s="41" t="s">
        <v>25</v>
      </c>
      <c r="G59" s="41" t="s">
        <v>24</v>
      </c>
      <c r="H59" s="41" t="s">
        <v>26</v>
      </c>
      <c r="I59" s="41">
        <v>64.5</v>
      </c>
      <c r="J59" s="41">
        <v>72.0</v>
      </c>
      <c r="K59" s="40">
        <f t="shared" si="69"/>
        <v>7.5</v>
      </c>
      <c r="L59" s="41">
        <v>0.6</v>
      </c>
      <c r="M59" s="40">
        <f t="shared" si="70"/>
        <v>11.62790698</v>
      </c>
      <c r="N59" s="41">
        <v>119.0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64"/>
      <c r="AF59" s="64"/>
      <c r="AG59" s="65"/>
      <c r="AH59" s="65"/>
      <c r="AI59" s="65"/>
      <c r="AJ59" s="65"/>
      <c r="AK59" s="65"/>
      <c r="AL59" s="65"/>
      <c r="AM59" s="65"/>
      <c r="AN59" s="65"/>
      <c r="AO59" s="64"/>
      <c r="AP59" s="65"/>
      <c r="AQ59" s="64"/>
      <c r="AR59" s="65"/>
      <c r="AS59" s="1"/>
      <c r="AT59" s="40"/>
      <c r="AU59" s="40"/>
      <c r="AV59" s="41" t="s">
        <v>257</v>
      </c>
      <c r="AW59" s="41" t="s">
        <v>121</v>
      </c>
      <c r="AX59" s="41">
        <v>0.5</v>
      </c>
      <c r="AY59" s="41" t="s">
        <v>25</v>
      </c>
      <c r="AZ59" s="41">
        <v>0.5</v>
      </c>
      <c r="BA59" s="41" t="s">
        <v>32</v>
      </c>
      <c r="BB59" s="41">
        <v>90.1</v>
      </c>
      <c r="BC59" s="41">
        <v>93.7</v>
      </c>
      <c r="BD59" s="40">
        <f t="shared" si="57"/>
        <v>3.6</v>
      </c>
      <c r="BE59" s="41">
        <v>0.8</v>
      </c>
      <c r="BF59" s="40">
        <f t="shared" si="58"/>
        <v>3.995560488</v>
      </c>
      <c r="BG59" s="41">
        <v>194.0</v>
      </c>
      <c r="BH59" s="1"/>
      <c r="BI59" s="40"/>
      <c r="BJ59" s="40"/>
      <c r="BK59" s="41" t="s">
        <v>50</v>
      </c>
      <c r="BL59" s="41" t="s">
        <v>35</v>
      </c>
      <c r="BM59" s="41">
        <v>0.649999999999999</v>
      </c>
      <c r="BN59" s="41" t="s">
        <v>25</v>
      </c>
      <c r="BO59" s="41">
        <v>0.649999999999999</v>
      </c>
      <c r="BP59" s="41" t="s">
        <v>26</v>
      </c>
      <c r="BQ59" s="41">
        <v>284.5</v>
      </c>
      <c r="BR59" s="41">
        <v>309.5</v>
      </c>
      <c r="BS59" s="40">
        <f t="shared" ref="BS59:BS71" si="73">BR59-BQ59</f>
        <v>25</v>
      </c>
      <c r="BT59" s="41">
        <v>4.5</v>
      </c>
      <c r="BU59" s="40">
        <f t="shared" ref="BU59:BU71" si="74">BR59*100/BQ59-100</f>
        <v>8.787346221</v>
      </c>
      <c r="BV59" s="41" t="s">
        <v>258</v>
      </c>
      <c r="BW59" s="1"/>
      <c r="BX59" s="47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5"/>
      <c r="CL59" s="1"/>
      <c r="CM59" s="40"/>
      <c r="CN59" s="40"/>
      <c r="CO59" s="41" t="s">
        <v>175</v>
      </c>
      <c r="CP59" s="41" t="s">
        <v>85</v>
      </c>
      <c r="CQ59" s="41">
        <v>0.350000000000001</v>
      </c>
      <c r="CR59" s="41" t="s">
        <v>25</v>
      </c>
      <c r="CS59" s="41">
        <v>0.350000000000001</v>
      </c>
      <c r="CT59" s="41" t="s">
        <v>26</v>
      </c>
      <c r="CU59" s="41">
        <v>24.2</v>
      </c>
      <c r="CV59" s="41">
        <v>26.1</v>
      </c>
      <c r="CW59" s="40">
        <f t="shared" si="67"/>
        <v>1.9</v>
      </c>
      <c r="CX59" s="41" t="s">
        <v>25</v>
      </c>
      <c r="CY59" s="40">
        <f t="shared" si="68"/>
        <v>7.851239669</v>
      </c>
      <c r="CZ59" s="41">
        <v>116.0</v>
      </c>
      <c r="DA59" s="1"/>
      <c r="DB59" s="1"/>
      <c r="DC59" s="1"/>
      <c r="DD59" s="1"/>
      <c r="DE59" s="1"/>
      <c r="DF59" s="1"/>
    </row>
    <row r="60">
      <c r="A60" s="40"/>
      <c r="B60" s="40"/>
      <c r="C60" s="41" t="s">
        <v>46</v>
      </c>
      <c r="D60" s="41" t="s">
        <v>23</v>
      </c>
      <c r="E60" s="41" t="s">
        <v>24</v>
      </c>
      <c r="F60" s="41" t="s">
        <v>25</v>
      </c>
      <c r="G60" s="41" t="s">
        <v>24</v>
      </c>
      <c r="H60" s="41" t="s">
        <v>26</v>
      </c>
      <c r="I60" s="41">
        <v>47.2</v>
      </c>
      <c r="J60" s="41">
        <v>51.8</v>
      </c>
      <c r="K60" s="40">
        <f t="shared" si="69"/>
        <v>4.6</v>
      </c>
      <c r="L60" s="41">
        <v>0.3</v>
      </c>
      <c r="M60" s="40">
        <f t="shared" si="70"/>
        <v>9.745762712</v>
      </c>
      <c r="N60" s="41">
        <v>139.0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64"/>
      <c r="AF60" s="64"/>
      <c r="AG60" s="65"/>
      <c r="AH60" s="65"/>
      <c r="AI60" s="65"/>
      <c r="AJ60" s="65"/>
      <c r="AK60" s="65"/>
      <c r="AL60" s="65"/>
      <c r="AM60" s="65"/>
      <c r="AN60" s="65"/>
      <c r="AO60" s="64"/>
      <c r="AP60" s="65"/>
      <c r="AQ60" s="64"/>
      <c r="AR60" s="65"/>
      <c r="AS60" s="1"/>
      <c r="AT60" s="40"/>
      <c r="AU60" s="40"/>
      <c r="AV60" s="41" t="s">
        <v>259</v>
      </c>
      <c r="AW60" s="41" t="s">
        <v>121</v>
      </c>
      <c r="AX60" s="41">
        <v>0.5</v>
      </c>
      <c r="AY60" s="41" t="s">
        <v>25</v>
      </c>
      <c r="AZ60" s="41">
        <v>0.5</v>
      </c>
      <c r="BA60" s="41" t="s">
        <v>32</v>
      </c>
      <c r="BB60" s="41">
        <v>56.7</v>
      </c>
      <c r="BC60" s="41">
        <v>58.7</v>
      </c>
      <c r="BD60" s="40">
        <f t="shared" si="57"/>
        <v>2</v>
      </c>
      <c r="BE60" s="41" t="s">
        <v>25</v>
      </c>
      <c r="BF60" s="40">
        <f t="shared" si="58"/>
        <v>3.527336861</v>
      </c>
      <c r="BG60" s="41">
        <v>194.0</v>
      </c>
      <c r="BH60" s="1"/>
      <c r="BI60" s="40"/>
      <c r="BJ60" s="40"/>
      <c r="BK60" s="41" t="s">
        <v>41</v>
      </c>
      <c r="BL60" s="41" t="s">
        <v>35</v>
      </c>
      <c r="BM60" s="41">
        <v>0.649999999999999</v>
      </c>
      <c r="BN60" s="41" t="s">
        <v>25</v>
      </c>
      <c r="BO60" s="41">
        <v>0.649999999999999</v>
      </c>
      <c r="BP60" s="41" t="s">
        <v>26</v>
      </c>
      <c r="BQ60" s="41">
        <v>101.2</v>
      </c>
      <c r="BR60" s="41">
        <v>109.0</v>
      </c>
      <c r="BS60" s="40">
        <f t="shared" si="73"/>
        <v>7.8</v>
      </c>
      <c r="BT60" s="41">
        <v>0.6</v>
      </c>
      <c r="BU60" s="40">
        <f t="shared" si="74"/>
        <v>7.707509881</v>
      </c>
      <c r="BV60" s="41">
        <v>210.0</v>
      </c>
      <c r="BW60" s="1"/>
      <c r="BX60" s="38" t="s">
        <v>260</v>
      </c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5"/>
      <c r="CL60" s="1"/>
      <c r="CM60" s="40"/>
      <c r="CN60" s="40"/>
      <c r="CO60" s="41" t="s">
        <v>106</v>
      </c>
      <c r="CP60" s="41" t="s">
        <v>85</v>
      </c>
      <c r="CQ60" s="41">
        <v>0.350000000000001</v>
      </c>
      <c r="CR60" s="41" t="s">
        <v>25</v>
      </c>
      <c r="CS60" s="41">
        <v>0.350000000000001</v>
      </c>
      <c r="CT60" s="40"/>
      <c r="CU60" s="40"/>
      <c r="CV60" s="40"/>
      <c r="CW60" s="40">
        <f t="shared" si="67"/>
        <v>0</v>
      </c>
      <c r="CX60" s="40"/>
      <c r="CY60" s="40" t="str">
        <f t="shared" si="68"/>
        <v>#DIV/0!</v>
      </c>
      <c r="CZ60" s="40"/>
      <c r="DA60" s="1"/>
      <c r="DB60" s="1"/>
      <c r="DC60" s="1"/>
      <c r="DD60" s="1"/>
      <c r="DE60" s="1"/>
      <c r="DF60" s="1"/>
    </row>
    <row r="61">
      <c r="A61" s="40"/>
      <c r="B61" s="40"/>
      <c r="C61" s="41" t="s">
        <v>52</v>
      </c>
      <c r="D61" s="41" t="s">
        <v>23</v>
      </c>
      <c r="E61" s="41" t="s">
        <v>24</v>
      </c>
      <c r="F61" s="41" t="s">
        <v>25</v>
      </c>
      <c r="G61" s="41" t="s">
        <v>24</v>
      </c>
      <c r="H61" s="41" t="s">
        <v>26</v>
      </c>
      <c r="I61" s="41">
        <v>43.8</v>
      </c>
      <c r="J61" s="41">
        <v>49.1</v>
      </c>
      <c r="K61" s="40">
        <f t="shared" si="69"/>
        <v>5.3</v>
      </c>
      <c r="L61" s="41" t="s">
        <v>25</v>
      </c>
      <c r="M61" s="40">
        <f t="shared" si="70"/>
        <v>12.10045662</v>
      </c>
      <c r="N61" s="41">
        <v>139.0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40"/>
      <c r="AU61" s="40"/>
      <c r="AV61" s="41" t="s">
        <v>261</v>
      </c>
      <c r="AW61" s="41" t="s">
        <v>140</v>
      </c>
      <c r="AX61" s="41">
        <v>0.4</v>
      </c>
      <c r="AY61" s="41" t="s">
        <v>25</v>
      </c>
      <c r="AZ61" s="41">
        <v>0.4</v>
      </c>
      <c r="BA61" s="41" t="s">
        <v>32</v>
      </c>
      <c r="BB61" s="41">
        <v>27.1</v>
      </c>
      <c r="BC61" s="41">
        <v>27.9</v>
      </c>
      <c r="BD61" s="40">
        <f t="shared" si="57"/>
        <v>0.8</v>
      </c>
      <c r="BE61" s="41">
        <v>0.9</v>
      </c>
      <c r="BF61" s="40">
        <f t="shared" si="58"/>
        <v>2.95202952</v>
      </c>
      <c r="BG61" s="41">
        <v>199.0</v>
      </c>
      <c r="BH61" s="1"/>
      <c r="BI61" s="40"/>
      <c r="BJ61" s="40"/>
      <c r="BK61" s="41" t="s">
        <v>235</v>
      </c>
      <c r="BL61" s="41" t="s">
        <v>35</v>
      </c>
      <c r="BM61" s="41">
        <v>0.649999999999999</v>
      </c>
      <c r="BN61" s="41" t="s">
        <v>25</v>
      </c>
      <c r="BO61" s="41">
        <v>0.649999999999999</v>
      </c>
      <c r="BP61" s="41" t="s">
        <v>26</v>
      </c>
      <c r="BQ61" s="41">
        <v>97.4</v>
      </c>
      <c r="BR61" s="41">
        <v>106.4</v>
      </c>
      <c r="BS61" s="40">
        <f t="shared" si="73"/>
        <v>9</v>
      </c>
      <c r="BT61" s="41">
        <v>1.7</v>
      </c>
      <c r="BU61" s="40">
        <f t="shared" si="74"/>
        <v>9.240246407</v>
      </c>
      <c r="BV61" s="41">
        <v>210.0</v>
      </c>
      <c r="BW61" s="1"/>
      <c r="BX61" s="70" t="s">
        <v>262</v>
      </c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6"/>
      <c r="CL61" s="1"/>
      <c r="CM61" s="40"/>
      <c r="CN61" s="40"/>
      <c r="CO61" s="40"/>
      <c r="CP61" s="41" t="s">
        <v>263</v>
      </c>
      <c r="CQ61" s="41">
        <v>0.350000000000001</v>
      </c>
      <c r="CR61" s="41" t="s">
        <v>25</v>
      </c>
      <c r="CS61" s="41">
        <v>0.350000000000001</v>
      </c>
      <c r="CT61" s="40"/>
      <c r="CU61" s="40"/>
      <c r="CV61" s="40"/>
      <c r="CW61" s="40">
        <f t="shared" si="67"/>
        <v>0</v>
      </c>
      <c r="CX61" s="40"/>
      <c r="CY61" s="40" t="str">
        <f t="shared" si="68"/>
        <v>#DIV/0!</v>
      </c>
      <c r="CZ61" s="40"/>
      <c r="DA61" s="1"/>
      <c r="DB61" s="1"/>
      <c r="DC61" s="1"/>
      <c r="DD61" s="1"/>
      <c r="DE61" s="1"/>
      <c r="DF61" s="1"/>
    </row>
    <row r="62">
      <c r="A62" s="40"/>
      <c r="B62" s="40"/>
      <c r="C62" s="41" t="s">
        <v>58</v>
      </c>
      <c r="D62" s="41" t="s">
        <v>23</v>
      </c>
      <c r="E62" s="41" t="s">
        <v>24</v>
      </c>
      <c r="F62" s="41" t="s">
        <v>25</v>
      </c>
      <c r="G62" s="41" t="s">
        <v>24</v>
      </c>
      <c r="H62" s="41" t="s">
        <v>26</v>
      </c>
      <c r="I62" s="41">
        <v>47.5</v>
      </c>
      <c r="J62" s="41">
        <v>52.2</v>
      </c>
      <c r="K62" s="40">
        <f t="shared" si="69"/>
        <v>4.7</v>
      </c>
      <c r="L62" s="41" t="s">
        <v>25</v>
      </c>
      <c r="M62" s="40">
        <f t="shared" si="70"/>
        <v>9.894736842</v>
      </c>
      <c r="N62" s="41">
        <v>139.0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BH62" s="1"/>
      <c r="BI62" s="40"/>
      <c r="BJ62" s="40"/>
      <c r="BK62" s="41" t="s">
        <v>41</v>
      </c>
      <c r="BL62" s="41" t="s">
        <v>35</v>
      </c>
      <c r="BM62" s="41">
        <v>0.649999999999999</v>
      </c>
      <c r="BN62" s="41" t="s">
        <v>25</v>
      </c>
      <c r="BO62" s="41">
        <v>0.649999999999999</v>
      </c>
      <c r="BP62" s="41" t="s">
        <v>26</v>
      </c>
      <c r="BQ62" s="41">
        <v>142.8</v>
      </c>
      <c r="BR62" s="41">
        <v>153.4</v>
      </c>
      <c r="BS62" s="40">
        <f t="shared" si="73"/>
        <v>10.6</v>
      </c>
      <c r="BT62" s="41">
        <v>2.4</v>
      </c>
      <c r="BU62" s="40">
        <f t="shared" si="74"/>
        <v>7.422969188</v>
      </c>
      <c r="BV62" s="41">
        <v>217.0</v>
      </c>
      <c r="BW62" s="1"/>
      <c r="BX62" s="48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6"/>
      <c r="CL62" s="1"/>
      <c r="CM62" s="40"/>
      <c r="CN62" s="40"/>
      <c r="CO62" s="40"/>
      <c r="CP62" s="41" t="s">
        <v>263</v>
      </c>
      <c r="CQ62" s="41">
        <v>0.350000000000001</v>
      </c>
      <c r="CR62" s="41" t="s">
        <v>25</v>
      </c>
      <c r="CS62" s="41">
        <v>0.350000000000001</v>
      </c>
      <c r="CT62" s="40"/>
      <c r="CU62" s="40"/>
      <c r="CV62" s="40"/>
      <c r="CW62" s="40">
        <f t="shared" si="67"/>
        <v>0</v>
      </c>
      <c r="CX62" s="40"/>
      <c r="CY62" s="40" t="str">
        <f t="shared" si="68"/>
        <v>#DIV/0!</v>
      </c>
      <c r="CZ62" s="40"/>
      <c r="DA62" s="1"/>
      <c r="DB62" s="1"/>
      <c r="DC62" s="1"/>
      <c r="DD62" s="1"/>
      <c r="DE62" s="1"/>
      <c r="DF62" s="1"/>
    </row>
    <row r="63">
      <c r="A63" s="40"/>
      <c r="B63" s="40"/>
      <c r="C63" s="41" t="s">
        <v>64</v>
      </c>
      <c r="D63" s="41" t="s">
        <v>23</v>
      </c>
      <c r="E63" s="41" t="s">
        <v>24</v>
      </c>
      <c r="F63" s="41" t="s">
        <v>25</v>
      </c>
      <c r="G63" s="41" t="s">
        <v>24</v>
      </c>
      <c r="H63" s="41" t="s">
        <v>26</v>
      </c>
      <c r="I63" s="41">
        <v>46.9</v>
      </c>
      <c r="J63" s="41">
        <v>51.5</v>
      </c>
      <c r="K63" s="40">
        <f t="shared" si="69"/>
        <v>4.6</v>
      </c>
      <c r="L63" s="41">
        <v>0.4</v>
      </c>
      <c r="M63" s="40">
        <f t="shared" si="70"/>
        <v>9.808102345</v>
      </c>
      <c r="N63" s="41">
        <v>139.0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64"/>
      <c r="AF63" s="64"/>
      <c r="AG63" s="64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64"/>
      <c r="AS63" s="1"/>
      <c r="AT63" s="50" t="s">
        <v>264</v>
      </c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5"/>
      <c r="BH63" s="1"/>
      <c r="BI63" s="40"/>
      <c r="BJ63" s="40"/>
      <c r="BK63" s="41" t="s">
        <v>57</v>
      </c>
      <c r="BL63" s="41" t="s">
        <v>35</v>
      </c>
      <c r="BM63" s="41">
        <v>0.649999999999999</v>
      </c>
      <c r="BN63" s="41" t="s">
        <v>25</v>
      </c>
      <c r="BO63" s="41">
        <v>0.649999999999999</v>
      </c>
      <c r="BP63" s="41" t="s">
        <v>26</v>
      </c>
      <c r="BQ63" s="41" t="s">
        <v>25</v>
      </c>
      <c r="BR63" s="41">
        <v>266.4</v>
      </c>
      <c r="BS63" s="40" t="str">
        <f t="shared" si="73"/>
        <v>#VALUE!</v>
      </c>
      <c r="BT63" s="41" t="s">
        <v>38</v>
      </c>
      <c r="BU63" s="40" t="str">
        <f t="shared" si="74"/>
        <v>#VALUE!</v>
      </c>
      <c r="BV63" s="41" t="s">
        <v>265</v>
      </c>
      <c r="BW63" s="1"/>
      <c r="BX63" s="47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5"/>
      <c r="CL63" s="1"/>
      <c r="CM63" s="40"/>
      <c r="CN63" s="40"/>
      <c r="CO63" s="40"/>
      <c r="CP63" s="41" t="s">
        <v>263</v>
      </c>
      <c r="CQ63" s="41">
        <v>0.350000000000001</v>
      </c>
      <c r="CR63" s="41" t="s">
        <v>25</v>
      </c>
      <c r="CS63" s="41">
        <v>0.350000000000001</v>
      </c>
      <c r="CT63" s="40"/>
      <c r="CU63" s="40"/>
      <c r="CV63" s="40"/>
      <c r="CW63" s="40">
        <f t="shared" si="67"/>
        <v>0</v>
      </c>
      <c r="CX63" s="40"/>
      <c r="CY63" s="40" t="str">
        <f t="shared" si="68"/>
        <v>#DIV/0!</v>
      </c>
      <c r="CZ63" s="40"/>
      <c r="DA63" s="1"/>
      <c r="DB63" s="1"/>
      <c r="DC63" s="1"/>
      <c r="DD63" s="1"/>
      <c r="DE63" s="1"/>
      <c r="DF63" s="1"/>
    </row>
    <row r="64">
      <c r="A64" s="40"/>
      <c r="B64" s="40"/>
      <c r="C64" s="41" t="s">
        <v>77</v>
      </c>
      <c r="D64" s="41" t="s">
        <v>23</v>
      </c>
      <c r="E64" s="41" t="s">
        <v>24</v>
      </c>
      <c r="F64" s="41" t="s">
        <v>25</v>
      </c>
      <c r="G64" s="41" t="s">
        <v>24</v>
      </c>
      <c r="H64" s="41" t="s">
        <v>26</v>
      </c>
      <c r="I64" s="41">
        <v>44.6</v>
      </c>
      <c r="J64" s="41">
        <v>48.6</v>
      </c>
      <c r="K64" s="40">
        <f t="shared" si="69"/>
        <v>4</v>
      </c>
      <c r="L64" s="41">
        <v>0.6</v>
      </c>
      <c r="M64" s="40">
        <f t="shared" si="70"/>
        <v>8.968609865</v>
      </c>
      <c r="N64" s="41">
        <v>139.0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64"/>
      <c r="AF64" s="64"/>
      <c r="AG64" s="64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64"/>
      <c r="AS64" s="1"/>
      <c r="AT64" s="40"/>
      <c r="AU64" s="40"/>
      <c r="AV64" s="41" t="s">
        <v>266</v>
      </c>
      <c r="AW64" s="41" t="s">
        <v>267</v>
      </c>
      <c r="AX64" s="41" t="s">
        <v>25</v>
      </c>
      <c r="AY64" s="41" t="s">
        <v>25</v>
      </c>
      <c r="AZ64" s="41">
        <v>0.4</v>
      </c>
      <c r="BA64" s="41" t="s">
        <v>26</v>
      </c>
      <c r="BB64" s="41">
        <v>354.7</v>
      </c>
      <c r="BC64" s="41">
        <v>383.5</v>
      </c>
      <c r="BD64" s="41">
        <f t="shared" ref="BD64:BD66" si="75">BC64-BB64</f>
        <v>28.8</v>
      </c>
      <c r="BE64" s="40"/>
      <c r="BF64" s="40">
        <f t="shared" ref="BF64:BF75" si="76">BC64*100/BB64-100</f>
        <v>8.119537637</v>
      </c>
      <c r="BG64" s="41">
        <v>202.0</v>
      </c>
      <c r="BH64" s="1"/>
      <c r="BI64" s="40"/>
      <c r="BJ64" s="40"/>
      <c r="BK64" s="41" t="s">
        <v>126</v>
      </c>
      <c r="BL64" s="41" t="s">
        <v>35</v>
      </c>
      <c r="BM64" s="41">
        <v>0.649999999999999</v>
      </c>
      <c r="BN64" s="41" t="s">
        <v>25</v>
      </c>
      <c r="BO64" s="41">
        <v>0.649999999999999</v>
      </c>
      <c r="BP64" s="41" t="s">
        <v>26</v>
      </c>
      <c r="BQ64" s="41">
        <v>100.6</v>
      </c>
      <c r="BR64" s="41">
        <v>111.5</v>
      </c>
      <c r="BS64" s="40">
        <f t="shared" si="73"/>
        <v>10.9</v>
      </c>
      <c r="BT64" s="41">
        <v>1.3</v>
      </c>
      <c r="BU64" s="40">
        <f t="shared" si="74"/>
        <v>10.83499006</v>
      </c>
      <c r="BV64" s="41">
        <v>222.0</v>
      </c>
      <c r="BW64" s="1"/>
      <c r="BX64" s="38" t="s">
        <v>268</v>
      </c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5"/>
      <c r="CL64" s="1"/>
      <c r="CM64" s="40"/>
      <c r="CN64" s="40"/>
      <c r="CO64" s="40"/>
      <c r="CP64" s="41" t="s">
        <v>263</v>
      </c>
      <c r="CQ64" s="41">
        <v>0.350000000000001</v>
      </c>
      <c r="CR64" s="41" t="s">
        <v>25</v>
      </c>
      <c r="CS64" s="41">
        <v>0.350000000000001</v>
      </c>
      <c r="CT64" s="40"/>
      <c r="CU64" s="40"/>
      <c r="CV64" s="40"/>
      <c r="CW64" s="40">
        <f t="shared" si="67"/>
        <v>0</v>
      </c>
      <c r="CX64" s="40"/>
      <c r="CY64" s="40" t="str">
        <f t="shared" si="68"/>
        <v>#DIV/0!</v>
      </c>
      <c r="CZ64" s="40"/>
      <c r="DA64" s="1"/>
      <c r="DB64" s="1"/>
      <c r="DC64" s="1"/>
      <c r="DD64" s="1"/>
      <c r="DE64" s="1"/>
      <c r="DF64" s="1"/>
    </row>
    <row r="65">
      <c r="A65" s="40"/>
      <c r="B65" s="40"/>
      <c r="C65" s="41" t="s">
        <v>53</v>
      </c>
      <c r="D65" s="41" t="s">
        <v>23</v>
      </c>
      <c r="E65" s="41" t="s">
        <v>24</v>
      </c>
      <c r="F65" s="41" t="s">
        <v>25</v>
      </c>
      <c r="G65" s="41" t="s">
        <v>24</v>
      </c>
      <c r="H65" s="41" t="s">
        <v>26</v>
      </c>
      <c r="I65" s="41">
        <v>226.3</v>
      </c>
      <c r="J65" s="41">
        <v>242.9</v>
      </c>
      <c r="K65" s="40">
        <f t="shared" si="69"/>
        <v>16.6</v>
      </c>
      <c r="L65" s="41">
        <v>6.3</v>
      </c>
      <c r="M65" s="40">
        <f t="shared" si="70"/>
        <v>7.335395493</v>
      </c>
      <c r="N65" s="41">
        <v>141.0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64"/>
      <c r="AF65" s="64"/>
      <c r="AG65" s="64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64"/>
      <c r="AS65" s="1"/>
      <c r="AT65" s="40"/>
      <c r="AU65" s="40"/>
      <c r="AV65" s="41" t="s">
        <v>269</v>
      </c>
      <c r="AW65" s="41" t="s">
        <v>267</v>
      </c>
      <c r="AX65" s="41" t="s">
        <v>25</v>
      </c>
      <c r="AY65" s="41" t="s">
        <v>25</v>
      </c>
      <c r="AZ65" s="41">
        <v>0.4</v>
      </c>
      <c r="BA65" s="41" t="s">
        <v>32</v>
      </c>
      <c r="BB65" s="41">
        <v>145.2</v>
      </c>
      <c r="BC65" s="41">
        <v>153.0</v>
      </c>
      <c r="BD65" s="41">
        <f t="shared" si="75"/>
        <v>7.8</v>
      </c>
      <c r="BE65" s="40"/>
      <c r="BF65" s="40">
        <f t="shared" si="76"/>
        <v>5.371900826</v>
      </c>
      <c r="BG65" s="41">
        <v>203.0</v>
      </c>
      <c r="BH65" s="1"/>
      <c r="BI65" s="40"/>
      <c r="BJ65" s="40"/>
      <c r="BK65" s="41" t="s">
        <v>270</v>
      </c>
      <c r="BL65" s="41" t="s">
        <v>35</v>
      </c>
      <c r="BM65" s="41">
        <v>0.649999999999999</v>
      </c>
      <c r="BN65" s="41" t="s">
        <v>25</v>
      </c>
      <c r="BO65" s="41">
        <v>0.649999999999999</v>
      </c>
      <c r="BP65" s="41" t="s">
        <v>26</v>
      </c>
      <c r="BQ65" s="41">
        <v>50.7</v>
      </c>
      <c r="BR65" s="41">
        <v>56.8</v>
      </c>
      <c r="BS65" s="40">
        <f t="shared" si="73"/>
        <v>6.1</v>
      </c>
      <c r="BT65" s="41">
        <v>0.9</v>
      </c>
      <c r="BU65" s="40">
        <f t="shared" si="74"/>
        <v>12.03155819</v>
      </c>
      <c r="BV65" s="41">
        <v>222.0</v>
      </c>
      <c r="BW65" s="1"/>
      <c r="BX65" s="40"/>
      <c r="BY65" s="40"/>
      <c r="BZ65" s="41"/>
      <c r="CA65" s="41" t="s">
        <v>37</v>
      </c>
      <c r="CB65" s="41">
        <v>0.2</v>
      </c>
      <c r="CC65" s="41">
        <v>0.550000000000002</v>
      </c>
      <c r="CD65" s="41">
        <v>0.75</v>
      </c>
      <c r="CE65" s="40"/>
      <c r="CF65" s="40"/>
      <c r="CG65" s="40"/>
      <c r="CH65" s="40">
        <f t="shared" ref="CH65:CH74" si="77">CG65-CF65</f>
        <v>0</v>
      </c>
      <c r="CI65" s="40"/>
      <c r="CJ65" s="40" t="str">
        <f t="shared" ref="CJ65:CJ74" si="78">CG65*100/CF65-100</f>
        <v>#DIV/0!</v>
      </c>
      <c r="CK65" s="41"/>
      <c r="CL65" s="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1"/>
      <c r="DB65" s="1"/>
      <c r="DC65" s="1"/>
      <c r="DD65" s="1"/>
      <c r="DE65" s="1"/>
      <c r="DF65" s="1"/>
    </row>
    <row r="66">
      <c r="A66" s="40"/>
      <c r="B66" s="40"/>
      <c r="C66" s="41" t="s">
        <v>59</v>
      </c>
      <c r="D66" s="41" t="s">
        <v>23</v>
      </c>
      <c r="E66" s="41" t="s">
        <v>24</v>
      </c>
      <c r="F66" s="41" t="s">
        <v>25</v>
      </c>
      <c r="G66" s="41" t="s">
        <v>24</v>
      </c>
      <c r="H66" s="41" t="s">
        <v>26</v>
      </c>
      <c r="I66" s="41">
        <v>272.4</v>
      </c>
      <c r="J66" s="41">
        <v>300.1</v>
      </c>
      <c r="K66" s="40">
        <f t="shared" si="69"/>
        <v>27.7</v>
      </c>
      <c r="L66" s="41">
        <v>4.2</v>
      </c>
      <c r="M66" s="40">
        <f t="shared" si="70"/>
        <v>10.16886931</v>
      </c>
      <c r="N66" s="41">
        <v>141.0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1"/>
      <c r="AT66" s="40"/>
      <c r="AU66" s="40"/>
      <c r="AV66" s="41" t="s">
        <v>271</v>
      </c>
      <c r="AW66" s="41" t="s">
        <v>272</v>
      </c>
      <c r="AX66" s="41">
        <v>0.35</v>
      </c>
      <c r="AY66" s="41" t="s">
        <v>25</v>
      </c>
      <c r="AZ66" s="41">
        <v>0.35</v>
      </c>
      <c r="BA66" s="41" t="s">
        <v>32</v>
      </c>
      <c r="BB66" s="41">
        <v>577.05</v>
      </c>
      <c r="BC66" s="41">
        <v>594.4</v>
      </c>
      <c r="BD66" s="41">
        <f t="shared" si="75"/>
        <v>17.35</v>
      </c>
      <c r="BE66" s="41">
        <v>0.95</v>
      </c>
      <c r="BF66" s="40">
        <f t="shared" si="76"/>
        <v>3.006671866</v>
      </c>
      <c r="BG66" s="41">
        <v>204.0</v>
      </c>
      <c r="BH66" s="1"/>
      <c r="BI66" s="40"/>
      <c r="BJ66" s="40"/>
      <c r="BK66" s="41" t="s">
        <v>50</v>
      </c>
      <c r="BL66" s="41" t="s">
        <v>35</v>
      </c>
      <c r="BM66" s="41">
        <v>0.649999999999999</v>
      </c>
      <c r="BN66" s="41" t="s">
        <v>25</v>
      </c>
      <c r="BO66" s="41">
        <v>0.649999999999999</v>
      </c>
      <c r="BP66" s="41" t="s">
        <v>26</v>
      </c>
      <c r="BQ66" s="41">
        <v>92.6</v>
      </c>
      <c r="BR66" s="41">
        <v>101.6</v>
      </c>
      <c r="BS66" s="40">
        <f t="shared" si="73"/>
        <v>9</v>
      </c>
      <c r="BT66" s="41">
        <v>0.3</v>
      </c>
      <c r="BU66" s="40">
        <f t="shared" si="74"/>
        <v>9.719222462</v>
      </c>
      <c r="BV66" s="41">
        <v>230.0</v>
      </c>
      <c r="BW66" s="1"/>
      <c r="BX66" s="40"/>
      <c r="BY66" s="40"/>
      <c r="BZ66" s="41"/>
      <c r="CA66" s="41" t="s">
        <v>37</v>
      </c>
      <c r="CB66" s="41">
        <v>0.2</v>
      </c>
      <c r="CC66" s="41">
        <v>0.550000000000002</v>
      </c>
      <c r="CD66" s="41">
        <v>0.75</v>
      </c>
      <c r="CE66" s="40"/>
      <c r="CF66" s="40"/>
      <c r="CG66" s="40"/>
      <c r="CH66" s="40">
        <f t="shared" si="77"/>
        <v>0</v>
      </c>
      <c r="CI66" s="40"/>
      <c r="CJ66" s="40" t="str">
        <f t="shared" si="78"/>
        <v>#DIV/0!</v>
      </c>
      <c r="CK66" s="41"/>
      <c r="CL66" s="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1"/>
      <c r="DB66" s="1"/>
      <c r="DC66" s="1"/>
      <c r="DD66" s="1"/>
      <c r="DE66" s="1"/>
      <c r="DF66" s="1"/>
    </row>
    <row r="67">
      <c r="A67" s="40"/>
      <c r="B67" s="40"/>
      <c r="C67" s="41" t="s">
        <v>78</v>
      </c>
      <c r="D67" s="41" t="s">
        <v>23</v>
      </c>
      <c r="E67" s="41" t="s">
        <v>24</v>
      </c>
      <c r="F67" s="41" t="s">
        <v>25</v>
      </c>
      <c r="G67" s="41" t="s">
        <v>24</v>
      </c>
      <c r="H67" s="41" t="s">
        <v>26</v>
      </c>
      <c r="I67" s="41">
        <v>306.7</v>
      </c>
      <c r="J67" s="41">
        <v>343.9</v>
      </c>
      <c r="K67" s="40">
        <f t="shared" si="69"/>
        <v>37.2</v>
      </c>
      <c r="L67" s="41">
        <v>1.5</v>
      </c>
      <c r="M67" s="40">
        <f t="shared" si="70"/>
        <v>12.1291164</v>
      </c>
      <c r="N67" s="41">
        <v>142.0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1"/>
      <c r="AT67" s="40"/>
      <c r="AU67" s="40"/>
      <c r="AV67" s="41" t="s">
        <v>273</v>
      </c>
      <c r="AW67" s="41" t="s">
        <v>274</v>
      </c>
      <c r="AX67" s="41" t="s">
        <v>25</v>
      </c>
      <c r="AY67" s="41" t="s">
        <v>25</v>
      </c>
      <c r="AZ67" s="41">
        <v>0.35</v>
      </c>
      <c r="BA67" s="41" t="s">
        <v>32</v>
      </c>
      <c r="BB67" s="41" t="s">
        <v>275</v>
      </c>
      <c r="BC67" s="41">
        <v>376.9</v>
      </c>
      <c r="BD67" s="41" t="s">
        <v>275</v>
      </c>
      <c r="BE67" s="41">
        <v>1.6</v>
      </c>
      <c r="BF67" s="40" t="str">
        <f t="shared" si="76"/>
        <v>#VALUE!</v>
      </c>
      <c r="BG67" s="41">
        <v>204.0</v>
      </c>
      <c r="BH67" s="1"/>
      <c r="BI67" s="40"/>
      <c r="BJ67" s="40"/>
      <c r="BK67" s="41" t="s">
        <v>57</v>
      </c>
      <c r="BL67" s="41" t="s">
        <v>35</v>
      </c>
      <c r="BM67" s="41">
        <v>0.649999999999999</v>
      </c>
      <c r="BN67" s="41" t="s">
        <v>25</v>
      </c>
      <c r="BO67" s="41">
        <v>0.649999999999999</v>
      </c>
      <c r="BP67" s="41" t="s">
        <v>26</v>
      </c>
      <c r="BQ67" s="41">
        <v>58.1</v>
      </c>
      <c r="BR67" s="41">
        <v>64.8</v>
      </c>
      <c r="BS67" s="40">
        <f t="shared" si="73"/>
        <v>6.7</v>
      </c>
      <c r="BT67" s="41">
        <v>14.9</v>
      </c>
      <c r="BU67" s="40">
        <f t="shared" si="74"/>
        <v>11.53184165</v>
      </c>
      <c r="BV67" s="41">
        <v>230.0</v>
      </c>
      <c r="BW67" s="1"/>
      <c r="BX67" s="40"/>
      <c r="BY67" s="40"/>
      <c r="BZ67" s="41"/>
      <c r="CA67" s="41" t="s">
        <v>37</v>
      </c>
      <c r="CB67" s="41">
        <v>0.2</v>
      </c>
      <c r="CC67" s="41">
        <v>0.550000000000002</v>
      </c>
      <c r="CD67" s="41">
        <v>0.75</v>
      </c>
      <c r="CE67" s="40"/>
      <c r="CF67" s="40"/>
      <c r="CG67" s="40"/>
      <c r="CH67" s="40">
        <f t="shared" si="77"/>
        <v>0</v>
      </c>
      <c r="CI67" s="40"/>
      <c r="CJ67" s="40" t="str">
        <f t="shared" si="78"/>
        <v>#DIV/0!</v>
      </c>
      <c r="CK67" s="41"/>
      <c r="CL67" s="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1"/>
      <c r="DB67" s="1"/>
      <c r="DC67" s="1"/>
      <c r="DD67" s="1"/>
      <c r="DE67" s="1"/>
      <c r="DF67" s="1"/>
    </row>
    <row r="68">
      <c r="A68" s="40"/>
      <c r="B68" s="40"/>
      <c r="C68" s="41" t="s">
        <v>52</v>
      </c>
      <c r="D68" s="41" t="s">
        <v>23</v>
      </c>
      <c r="E68" s="41" t="s">
        <v>24</v>
      </c>
      <c r="F68" s="41" t="s">
        <v>25</v>
      </c>
      <c r="G68" s="41" t="s">
        <v>24</v>
      </c>
      <c r="H68" s="41" t="s">
        <v>26</v>
      </c>
      <c r="I68" s="41">
        <v>40.7</v>
      </c>
      <c r="J68" s="41">
        <v>44.3</v>
      </c>
      <c r="K68" s="40">
        <f t="shared" si="69"/>
        <v>3.6</v>
      </c>
      <c r="L68" s="41">
        <v>0.7</v>
      </c>
      <c r="M68" s="40">
        <f t="shared" si="70"/>
        <v>8.845208845</v>
      </c>
      <c r="N68" s="41">
        <v>143.0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1"/>
      <c r="AT68" s="40"/>
      <c r="AU68" s="40"/>
      <c r="AV68" s="41" t="s">
        <v>159</v>
      </c>
      <c r="AW68" s="41" t="s">
        <v>276</v>
      </c>
      <c r="AX68" s="41">
        <v>0.4</v>
      </c>
      <c r="AY68" s="41" t="s">
        <v>25</v>
      </c>
      <c r="AZ68" s="41">
        <v>0.4</v>
      </c>
      <c r="BA68" s="41" t="s">
        <v>32</v>
      </c>
      <c r="BB68" s="41">
        <v>154.45</v>
      </c>
      <c r="BC68" s="41">
        <v>161.9</v>
      </c>
      <c r="BD68" s="41">
        <f t="shared" ref="BD68:BD75" si="79">BC68-BB68</f>
        <v>7.45</v>
      </c>
      <c r="BE68" s="41">
        <v>0.55</v>
      </c>
      <c r="BF68" s="40">
        <f t="shared" si="76"/>
        <v>4.823567498</v>
      </c>
      <c r="BG68" s="41">
        <v>207.0</v>
      </c>
      <c r="BH68" s="1"/>
      <c r="BI68" s="40"/>
      <c r="BJ68" s="40"/>
      <c r="BK68" s="41" t="s">
        <v>235</v>
      </c>
      <c r="BL68" s="41" t="s">
        <v>35</v>
      </c>
      <c r="BM68" s="41">
        <v>0.649999999999999</v>
      </c>
      <c r="BN68" s="41" t="s">
        <v>25</v>
      </c>
      <c r="BO68" s="41">
        <v>0.649999999999999</v>
      </c>
      <c r="BP68" s="41" t="s">
        <v>26</v>
      </c>
      <c r="BQ68" s="41">
        <v>13.52</v>
      </c>
      <c r="BR68" s="41">
        <v>14.5</v>
      </c>
      <c r="BS68" s="40">
        <f t="shared" si="73"/>
        <v>0.98</v>
      </c>
      <c r="BT68" s="41">
        <v>0.48</v>
      </c>
      <c r="BU68" s="40">
        <f t="shared" si="74"/>
        <v>7.24852071</v>
      </c>
      <c r="BV68" s="41">
        <v>230.0</v>
      </c>
      <c r="BW68" s="1"/>
      <c r="BX68" s="72"/>
      <c r="BY68" s="73"/>
      <c r="BZ68" s="73"/>
      <c r="CA68" s="41" t="s">
        <v>37</v>
      </c>
      <c r="CB68" s="41">
        <v>0.2</v>
      </c>
      <c r="CC68" s="41">
        <v>0.550000000000002</v>
      </c>
      <c r="CD68" s="41">
        <v>0.75</v>
      </c>
      <c r="CE68" s="40"/>
      <c r="CF68" s="40"/>
      <c r="CG68" s="40"/>
      <c r="CH68" s="40">
        <f t="shared" si="77"/>
        <v>0</v>
      </c>
      <c r="CI68" s="40"/>
      <c r="CJ68" s="40" t="str">
        <f t="shared" si="78"/>
        <v>#DIV/0!</v>
      </c>
      <c r="CK68" s="74"/>
      <c r="CL68" s="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1"/>
      <c r="DB68" s="1"/>
      <c r="DC68" s="1"/>
      <c r="DD68" s="1"/>
      <c r="DE68" s="1"/>
      <c r="DF68" s="1"/>
    </row>
    <row r="69">
      <c r="A69" s="40"/>
      <c r="B69" s="40"/>
      <c r="C69" s="41" t="s">
        <v>277</v>
      </c>
      <c r="D69" s="41" t="s">
        <v>23</v>
      </c>
      <c r="E69" s="41" t="s">
        <v>24</v>
      </c>
      <c r="F69" s="41" t="s">
        <v>25</v>
      </c>
      <c r="G69" s="41" t="s">
        <v>24</v>
      </c>
      <c r="H69" s="41" t="s">
        <v>26</v>
      </c>
      <c r="I69" s="41">
        <v>96.4</v>
      </c>
      <c r="J69" s="41">
        <v>109.3</v>
      </c>
      <c r="K69" s="40">
        <f t="shared" si="69"/>
        <v>12.9</v>
      </c>
      <c r="L69" s="41">
        <v>0.4</v>
      </c>
      <c r="M69" s="40">
        <f t="shared" si="70"/>
        <v>13.38174274</v>
      </c>
      <c r="N69" s="41">
        <v>148.0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1"/>
      <c r="AT69" s="40"/>
      <c r="AU69" s="40"/>
      <c r="AV69" s="41" t="s">
        <v>278</v>
      </c>
      <c r="AW69" s="41" t="s">
        <v>276</v>
      </c>
      <c r="AX69" s="41">
        <v>0.3</v>
      </c>
      <c r="AY69" s="41" t="s">
        <v>25</v>
      </c>
      <c r="AZ69" s="41">
        <v>0.3</v>
      </c>
      <c r="BA69" s="41" t="s">
        <v>32</v>
      </c>
      <c r="BB69" s="41">
        <v>113.0</v>
      </c>
      <c r="BC69" s="41">
        <v>115.1</v>
      </c>
      <c r="BD69" s="41">
        <f t="shared" si="79"/>
        <v>2.1</v>
      </c>
      <c r="BE69" s="41">
        <v>1.8</v>
      </c>
      <c r="BF69" s="40">
        <f t="shared" si="76"/>
        <v>1.85840708</v>
      </c>
      <c r="BG69" s="41">
        <v>207.0</v>
      </c>
      <c r="BH69" s="1"/>
      <c r="BI69" s="40"/>
      <c r="BJ69" s="40"/>
      <c r="BK69" s="41" t="s">
        <v>191</v>
      </c>
      <c r="BL69" s="41" t="s">
        <v>35</v>
      </c>
      <c r="BM69" s="41">
        <v>0.649999999999999</v>
      </c>
      <c r="BN69" s="41" t="s">
        <v>25</v>
      </c>
      <c r="BO69" s="41">
        <v>0.649999999999999</v>
      </c>
      <c r="BP69" s="41" t="s">
        <v>26</v>
      </c>
      <c r="BQ69" s="41">
        <v>86.9</v>
      </c>
      <c r="BR69" s="41">
        <v>101.7</v>
      </c>
      <c r="BS69" s="40">
        <f t="shared" si="73"/>
        <v>14.8</v>
      </c>
      <c r="BT69" s="41">
        <v>0.9</v>
      </c>
      <c r="BU69" s="40">
        <f t="shared" si="74"/>
        <v>17.0310702</v>
      </c>
      <c r="BV69" s="41">
        <v>230.0</v>
      </c>
      <c r="BW69" s="1"/>
      <c r="CA69" s="41" t="s">
        <v>37</v>
      </c>
      <c r="CB69" s="41">
        <v>0.2</v>
      </c>
      <c r="CC69" s="41">
        <v>0.550000000000002</v>
      </c>
      <c r="CD69" s="41">
        <v>0.75</v>
      </c>
      <c r="CE69" s="40"/>
      <c r="CF69" s="40"/>
      <c r="CG69" s="40"/>
      <c r="CH69" s="40">
        <f t="shared" si="77"/>
        <v>0</v>
      </c>
      <c r="CI69" s="40"/>
      <c r="CJ69" s="40" t="str">
        <f t="shared" si="78"/>
        <v>#DIV/0!</v>
      </c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1"/>
      <c r="DB69" s="1"/>
      <c r="DC69" s="1"/>
      <c r="DD69" s="1"/>
      <c r="DE69" s="1"/>
      <c r="DF69" s="1"/>
    </row>
    <row r="70">
      <c r="A70" s="40"/>
      <c r="B70" s="40"/>
      <c r="C70" s="41" t="s">
        <v>279</v>
      </c>
      <c r="D70" s="41" t="s">
        <v>23</v>
      </c>
      <c r="E70" s="41" t="s">
        <v>24</v>
      </c>
      <c r="F70" s="41" t="s">
        <v>25</v>
      </c>
      <c r="G70" s="41" t="s">
        <v>24</v>
      </c>
      <c r="H70" s="41" t="s">
        <v>32</v>
      </c>
      <c r="I70" s="41">
        <v>46.9</v>
      </c>
      <c r="J70" s="41">
        <v>52.8</v>
      </c>
      <c r="K70" s="40">
        <f t="shared" si="69"/>
        <v>5.9</v>
      </c>
      <c r="L70" s="41">
        <v>3.0</v>
      </c>
      <c r="M70" s="40">
        <f t="shared" si="70"/>
        <v>12.57995736</v>
      </c>
      <c r="N70" s="41">
        <v>151.0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1"/>
      <c r="AT70" s="40"/>
      <c r="AU70" s="40"/>
      <c r="AV70" s="41" t="s">
        <v>87</v>
      </c>
      <c r="AW70" s="41" t="s">
        <v>267</v>
      </c>
      <c r="AX70" s="41">
        <v>0.5</v>
      </c>
      <c r="AY70" s="41" t="s">
        <v>25</v>
      </c>
      <c r="AZ70" s="41">
        <v>0.5</v>
      </c>
      <c r="BA70" s="41" t="s">
        <v>32</v>
      </c>
      <c r="BB70" s="41">
        <v>37.1</v>
      </c>
      <c r="BC70" s="41">
        <v>38.8</v>
      </c>
      <c r="BD70" s="41">
        <f t="shared" si="79"/>
        <v>1.7</v>
      </c>
      <c r="BE70" s="41" t="s">
        <v>25</v>
      </c>
      <c r="BF70" s="40">
        <f t="shared" si="76"/>
        <v>4.582210243</v>
      </c>
      <c r="BG70" s="41">
        <v>207.0</v>
      </c>
      <c r="BH70" s="1"/>
      <c r="BI70" s="40"/>
      <c r="BJ70" s="40"/>
      <c r="BK70" s="41" t="s">
        <v>36</v>
      </c>
      <c r="BL70" s="41" t="s">
        <v>35</v>
      </c>
      <c r="BM70" s="41">
        <v>0.649999999999999</v>
      </c>
      <c r="BN70" s="41" t="s">
        <v>25</v>
      </c>
      <c r="BO70" s="41">
        <v>0.649999999999999</v>
      </c>
      <c r="BP70" s="41" t="s">
        <v>32</v>
      </c>
      <c r="BQ70" s="41">
        <v>180.75</v>
      </c>
      <c r="BR70" s="41">
        <v>189.9</v>
      </c>
      <c r="BS70" s="40">
        <f t="shared" si="73"/>
        <v>9.15</v>
      </c>
      <c r="BT70" s="41">
        <v>0.7</v>
      </c>
      <c r="BU70" s="40">
        <f t="shared" si="74"/>
        <v>5.062240664</v>
      </c>
      <c r="BV70" s="41">
        <v>235.0</v>
      </c>
      <c r="BW70" s="1"/>
      <c r="CA70" s="41" t="s">
        <v>37</v>
      </c>
      <c r="CB70" s="41">
        <v>0.2</v>
      </c>
      <c r="CC70" s="41">
        <v>0.550000000000002</v>
      </c>
      <c r="CD70" s="41">
        <v>0.75</v>
      </c>
      <c r="CE70" s="40"/>
      <c r="CF70" s="40"/>
      <c r="CG70" s="40"/>
      <c r="CH70" s="40">
        <f t="shared" si="77"/>
        <v>0</v>
      </c>
      <c r="CI70" s="40"/>
      <c r="CJ70" s="40" t="str">
        <f t="shared" si="78"/>
        <v>#DIV/0!</v>
      </c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1"/>
      <c r="DB70" s="1"/>
      <c r="DC70" s="1"/>
      <c r="DD70" s="1"/>
      <c r="DE70" s="1"/>
      <c r="DF70" s="1"/>
    </row>
    <row r="71">
      <c r="A71" s="40"/>
      <c r="B71" s="40"/>
      <c r="C71" s="41" t="s">
        <v>44</v>
      </c>
      <c r="D71" s="41" t="s">
        <v>23</v>
      </c>
      <c r="E71" s="41" t="s">
        <v>24</v>
      </c>
      <c r="F71" s="41" t="s">
        <v>25</v>
      </c>
      <c r="G71" s="41" t="s">
        <v>24</v>
      </c>
      <c r="H71" s="41" t="s">
        <v>26</v>
      </c>
      <c r="I71" s="41">
        <v>123.1</v>
      </c>
      <c r="J71" s="41">
        <v>158.9</v>
      </c>
      <c r="K71" s="40">
        <f t="shared" si="69"/>
        <v>35.8</v>
      </c>
      <c r="L71" s="41">
        <v>2.2</v>
      </c>
      <c r="M71" s="42">
        <f t="shared" si="70"/>
        <v>29.08204712</v>
      </c>
      <c r="N71" s="41">
        <v>151.0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40"/>
      <c r="AU71" s="40"/>
      <c r="AV71" s="41" t="s">
        <v>280</v>
      </c>
      <c r="AW71" s="41" t="s">
        <v>267</v>
      </c>
      <c r="AX71" s="41">
        <v>0.4</v>
      </c>
      <c r="AY71" s="41" t="s">
        <v>25</v>
      </c>
      <c r="AZ71" s="41">
        <v>0.4</v>
      </c>
      <c r="BA71" s="41" t="s">
        <v>32</v>
      </c>
      <c r="BB71" s="41">
        <v>571.5</v>
      </c>
      <c r="BC71" s="41">
        <v>594.0</v>
      </c>
      <c r="BD71" s="41">
        <f t="shared" si="79"/>
        <v>22.5</v>
      </c>
      <c r="BE71" s="41">
        <v>2.1</v>
      </c>
      <c r="BF71" s="40">
        <f t="shared" si="76"/>
        <v>3.937007874</v>
      </c>
      <c r="BG71" s="41">
        <v>218.0</v>
      </c>
      <c r="BH71" s="1"/>
      <c r="BI71" s="40"/>
      <c r="BJ71" s="40"/>
      <c r="BK71" s="41" t="s">
        <v>113</v>
      </c>
      <c r="BL71" s="41" t="s">
        <v>35</v>
      </c>
      <c r="BM71" s="41">
        <v>0.649999999999999</v>
      </c>
      <c r="BN71" s="41" t="s">
        <v>25</v>
      </c>
      <c r="BO71" s="41">
        <v>0.649999999999999</v>
      </c>
      <c r="BP71" s="41" t="s">
        <v>32</v>
      </c>
      <c r="BQ71" s="41">
        <v>61.2</v>
      </c>
      <c r="BR71" s="41">
        <v>61.8</v>
      </c>
      <c r="BS71" s="40">
        <f t="shared" si="73"/>
        <v>0.6</v>
      </c>
      <c r="BT71" s="41">
        <v>0.3</v>
      </c>
      <c r="BU71" s="40">
        <f t="shared" si="74"/>
        <v>0.9803921569</v>
      </c>
      <c r="BV71" s="41">
        <v>235.0</v>
      </c>
      <c r="BW71" s="1"/>
      <c r="BX71" s="40"/>
      <c r="BY71" s="40"/>
      <c r="BZ71" s="41"/>
      <c r="CA71" s="41" t="s">
        <v>37</v>
      </c>
      <c r="CB71" s="41">
        <v>0.2</v>
      </c>
      <c r="CC71" s="41">
        <v>0.550000000000002</v>
      </c>
      <c r="CD71" s="41">
        <v>0.75</v>
      </c>
      <c r="CE71" s="40"/>
      <c r="CF71" s="40"/>
      <c r="CG71" s="40"/>
      <c r="CH71" s="40">
        <f t="shared" si="77"/>
        <v>0</v>
      </c>
      <c r="CI71" s="40"/>
      <c r="CJ71" s="40" t="str">
        <f t="shared" si="78"/>
        <v>#DIV/0!</v>
      </c>
      <c r="CK71" s="41"/>
      <c r="CL71" s="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1"/>
      <c r="DB71" s="1"/>
      <c r="DC71" s="1"/>
      <c r="DD71" s="1"/>
      <c r="DE71" s="1"/>
      <c r="DF71" s="1"/>
    </row>
    <row r="72">
      <c r="A72" s="40"/>
      <c r="B72" s="40"/>
      <c r="C72" s="41" t="s">
        <v>281</v>
      </c>
      <c r="D72" s="41" t="s">
        <v>23</v>
      </c>
      <c r="E72" s="41" t="s">
        <v>24</v>
      </c>
      <c r="F72" s="40"/>
      <c r="G72" s="41" t="s">
        <v>24</v>
      </c>
      <c r="H72" s="41" t="s">
        <v>32</v>
      </c>
      <c r="I72" s="41">
        <v>182.8</v>
      </c>
      <c r="J72" s="41">
        <v>200.9</v>
      </c>
      <c r="K72" s="40">
        <f t="shared" si="69"/>
        <v>18.1</v>
      </c>
      <c r="L72" s="41">
        <v>3.2</v>
      </c>
      <c r="M72" s="40">
        <f t="shared" si="70"/>
        <v>9.901531729</v>
      </c>
      <c r="N72" s="41">
        <v>155.0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40"/>
      <c r="AU72" s="40"/>
      <c r="AV72" s="41" t="s">
        <v>179</v>
      </c>
      <c r="AW72" s="41" t="s">
        <v>267</v>
      </c>
      <c r="AX72" s="41">
        <v>0.4</v>
      </c>
      <c r="AY72" s="41" t="s">
        <v>25</v>
      </c>
      <c r="AZ72" s="41">
        <v>0.4</v>
      </c>
      <c r="BA72" s="41" t="s">
        <v>32</v>
      </c>
      <c r="BB72" s="41">
        <v>45.6</v>
      </c>
      <c r="BC72" s="41">
        <v>47.4</v>
      </c>
      <c r="BD72" s="41">
        <f t="shared" si="79"/>
        <v>1.8</v>
      </c>
      <c r="BE72" s="41">
        <v>0.3</v>
      </c>
      <c r="BF72" s="40">
        <f t="shared" si="76"/>
        <v>3.947368421</v>
      </c>
      <c r="BG72" s="41">
        <v>223.0</v>
      </c>
      <c r="BH72" s="1"/>
      <c r="BI72" s="47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5"/>
      <c r="BW72" s="1"/>
      <c r="CA72" s="41" t="s">
        <v>37</v>
      </c>
      <c r="CB72" s="41">
        <v>0.2</v>
      </c>
      <c r="CC72" s="41">
        <v>0.550000000000002</v>
      </c>
      <c r="CD72" s="41">
        <v>0.75</v>
      </c>
      <c r="CE72" s="40"/>
      <c r="CF72" s="40"/>
      <c r="CG72" s="40"/>
      <c r="CH72" s="40">
        <f t="shared" si="77"/>
        <v>0</v>
      </c>
      <c r="CI72" s="40"/>
      <c r="CJ72" s="40" t="str">
        <f t="shared" si="78"/>
        <v>#DIV/0!</v>
      </c>
      <c r="CL72" s="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1"/>
      <c r="DB72" s="1"/>
      <c r="DC72" s="1"/>
      <c r="DD72" s="1"/>
      <c r="DE72" s="1"/>
      <c r="DF72" s="1"/>
    </row>
    <row r="73">
      <c r="A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40"/>
      <c r="AU73" s="40"/>
      <c r="AV73" s="41" t="s">
        <v>162</v>
      </c>
      <c r="AW73" s="41" t="s">
        <v>267</v>
      </c>
      <c r="AX73" s="41">
        <v>0.4</v>
      </c>
      <c r="AY73" s="41" t="s">
        <v>25</v>
      </c>
      <c r="AZ73" s="41">
        <v>0.4</v>
      </c>
      <c r="BA73" s="41" t="s">
        <v>32</v>
      </c>
      <c r="BB73" s="41">
        <v>69.8</v>
      </c>
      <c r="BC73" s="41">
        <v>72.6</v>
      </c>
      <c r="BD73" s="41">
        <f t="shared" si="79"/>
        <v>2.8</v>
      </c>
      <c r="BE73" s="41">
        <v>0.2</v>
      </c>
      <c r="BF73" s="40">
        <f t="shared" si="76"/>
        <v>4.011461318</v>
      </c>
      <c r="BG73" s="41">
        <v>223.0</v>
      </c>
      <c r="BH73" s="1"/>
      <c r="BI73" s="75" t="s">
        <v>282</v>
      </c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5"/>
      <c r="BW73" s="1"/>
      <c r="BX73" s="40"/>
      <c r="BY73" s="40"/>
      <c r="BZ73" s="41"/>
      <c r="CA73" s="41" t="s">
        <v>37</v>
      </c>
      <c r="CB73" s="41">
        <v>0.2</v>
      </c>
      <c r="CC73" s="41">
        <v>0.550000000000002</v>
      </c>
      <c r="CD73" s="41">
        <v>0.75</v>
      </c>
      <c r="CE73" s="40"/>
      <c r="CF73" s="40"/>
      <c r="CG73" s="40"/>
      <c r="CH73" s="40">
        <f t="shared" si="77"/>
        <v>0</v>
      </c>
      <c r="CI73" s="40"/>
      <c r="CJ73" s="40" t="str">
        <f t="shared" si="78"/>
        <v>#DIV/0!</v>
      </c>
      <c r="CK73" s="41"/>
      <c r="CL73" s="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1"/>
      <c r="DB73" s="1"/>
      <c r="DC73" s="1"/>
      <c r="DD73" s="1"/>
      <c r="DE73" s="1"/>
      <c r="DF73" s="1"/>
    </row>
    <row r="74">
      <c r="A74" s="76" t="s">
        <v>283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40"/>
      <c r="AU74" s="40"/>
      <c r="AV74" s="41" t="s">
        <v>190</v>
      </c>
      <c r="AW74" s="41" t="s">
        <v>267</v>
      </c>
      <c r="AX74" s="41">
        <v>0.4</v>
      </c>
      <c r="AY74" s="41" t="s">
        <v>25</v>
      </c>
      <c r="AZ74" s="41">
        <v>0.4</v>
      </c>
      <c r="BA74" s="41" t="s">
        <v>32</v>
      </c>
      <c r="BB74" s="41">
        <v>61.4</v>
      </c>
      <c r="BC74" s="41">
        <v>63.5</v>
      </c>
      <c r="BD74" s="41">
        <f t="shared" si="79"/>
        <v>2.1</v>
      </c>
      <c r="BE74" s="41">
        <v>0.7</v>
      </c>
      <c r="BF74" s="40">
        <f t="shared" si="76"/>
        <v>3.42019544</v>
      </c>
      <c r="BG74" s="41">
        <v>223.0</v>
      </c>
      <c r="BH74" s="1"/>
      <c r="BI74" s="40"/>
      <c r="BJ74" s="40"/>
      <c r="BK74" s="41" t="s">
        <v>41</v>
      </c>
      <c r="BL74" s="41" t="s">
        <v>35</v>
      </c>
      <c r="BM74" s="41">
        <v>0.649999999999999</v>
      </c>
      <c r="BN74" s="41" t="s">
        <v>25</v>
      </c>
      <c r="BO74" s="41">
        <v>0.649999999999999</v>
      </c>
      <c r="BP74" s="41" t="s">
        <v>26</v>
      </c>
      <c r="BQ74" s="41">
        <v>465.9</v>
      </c>
      <c r="BR74" s="41">
        <v>479.3</v>
      </c>
      <c r="BS74" s="40">
        <f t="shared" ref="BS74:BS78" si="80">BR74-BQ74</f>
        <v>13.4</v>
      </c>
      <c r="BT74" s="41">
        <v>4.0</v>
      </c>
      <c r="BU74" s="40">
        <f t="shared" ref="BU74:BU78" si="81">BR74*100/BQ74-100</f>
        <v>2.876153681</v>
      </c>
      <c r="BV74" s="41">
        <v>247.0</v>
      </c>
      <c r="BW74" s="1"/>
      <c r="BX74" s="40"/>
      <c r="BY74" s="40"/>
      <c r="BZ74" s="41"/>
      <c r="CA74" s="41" t="s">
        <v>37</v>
      </c>
      <c r="CB74" s="41">
        <v>0.2</v>
      </c>
      <c r="CC74" s="41">
        <v>0.550000000000002</v>
      </c>
      <c r="CD74" s="41">
        <v>0.75</v>
      </c>
      <c r="CE74" s="40"/>
      <c r="CF74" s="40"/>
      <c r="CG74" s="40"/>
      <c r="CH74" s="40">
        <f t="shared" si="77"/>
        <v>0</v>
      </c>
      <c r="CI74" s="40"/>
      <c r="CJ74" s="40" t="str">
        <f t="shared" si="78"/>
        <v>#DIV/0!</v>
      </c>
      <c r="CK74" s="41"/>
      <c r="CL74" s="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1"/>
      <c r="DB74" s="1"/>
      <c r="DC74" s="1"/>
      <c r="DD74" s="1"/>
      <c r="DE74" s="1"/>
      <c r="DF74" s="1"/>
    </row>
    <row r="75">
      <c r="A75" s="40"/>
      <c r="B75" s="40"/>
      <c r="C75" s="41" t="s">
        <v>50</v>
      </c>
      <c r="D75" s="41" t="s">
        <v>23</v>
      </c>
      <c r="E75" s="41" t="s">
        <v>24</v>
      </c>
      <c r="F75" s="41" t="s">
        <v>25</v>
      </c>
      <c r="G75" s="41" t="s">
        <v>24</v>
      </c>
      <c r="H75" s="41" t="s">
        <v>26</v>
      </c>
      <c r="I75" s="41">
        <v>92.5</v>
      </c>
      <c r="J75" s="41">
        <v>100.4</v>
      </c>
      <c r="K75" s="40">
        <f t="shared" ref="K75:K96" si="82">J75-I75</f>
        <v>7.9</v>
      </c>
      <c r="L75" s="41">
        <v>0.9</v>
      </c>
      <c r="M75" s="40">
        <f t="shared" ref="M75:M96" si="83">J75*100/I75-100</f>
        <v>8.540540541</v>
      </c>
      <c r="N75" s="41">
        <v>159.0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40"/>
      <c r="AU75" s="40"/>
      <c r="AV75" s="41" t="s">
        <v>39</v>
      </c>
      <c r="AW75" s="41" t="s">
        <v>267</v>
      </c>
      <c r="AX75" s="41">
        <v>0.5</v>
      </c>
      <c r="AY75" s="41" t="s">
        <v>25</v>
      </c>
      <c r="AZ75" s="41">
        <v>0.5</v>
      </c>
      <c r="BA75" s="41" t="s">
        <v>32</v>
      </c>
      <c r="BB75" s="41">
        <v>248.85</v>
      </c>
      <c r="BC75" s="41">
        <v>257.7</v>
      </c>
      <c r="BD75" s="41">
        <f t="shared" si="79"/>
        <v>8.85</v>
      </c>
      <c r="BE75" s="41">
        <v>1.7</v>
      </c>
      <c r="BF75" s="40">
        <f t="shared" si="76"/>
        <v>3.556359253</v>
      </c>
      <c r="BG75" s="41" t="s">
        <v>284</v>
      </c>
      <c r="BH75" s="1"/>
      <c r="BI75" s="40"/>
      <c r="BJ75" s="40"/>
      <c r="BK75" s="41" t="s">
        <v>34</v>
      </c>
      <c r="BL75" s="41" t="s">
        <v>35</v>
      </c>
      <c r="BM75" s="41">
        <v>0.649999999999999</v>
      </c>
      <c r="BN75" s="41" t="s">
        <v>25</v>
      </c>
      <c r="BO75" s="41">
        <v>0.649999999999999</v>
      </c>
      <c r="BP75" s="41" t="s">
        <v>32</v>
      </c>
      <c r="BQ75" s="41">
        <v>123.1</v>
      </c>
      <c r="BR75" s="41">
        <v>129.5</v>
      </c>
      <c r="BS75" s="40">
        <f t="shared" si="80"/>
        <v>6.4</v>
      </c>
      <c r="BT75" s="41">
        <v>0.9</v>
      </c>
      <c r="BU75" s="40">
        <f t="shared" si="81"/>
        <v>5.199025183</v>
      </c>
      <c r="BV75" s="41">
        <v>262.0</v>
      </c>
      <c r="BW75" s="1"/>
      <c r="CL75" s="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1"/>
      <c r="DB75" s="1"/>
      <c r="DC75" s="1"/>
      <c r="DD75" s="1"/>
      <c r="DE75" s="1"/>
      <c r="DF75" s="1"/>
    </row>
    <row r="76">
      <c r="A76" s="40"/>
      <c r="B76" s="40"/>
      <c r="C76" s="41" t="s">
        <v>46</v>
      </c>
      <c r="D76" s="41" t="s">
        <v>23</v>
      </c>
      <c r="E76" s="41" t="s">
        <v>24</v>
      </c>
      <c r="F76" s="41" t="s">
        <v>25</v>
      </c>
      <c r="G76" s="41" t="s">
        <v>24</v>
      </c>
      <c r="H76" s="41" t="s">
        <v>26</v>
      </c>
      <c r="I76" s="41">
        <v>86.1</v>
      </c>
      <c r="J76" s="41">
        <v>93.4</v>
      </c>
      <c r="K76" s="40">
        <f t="shared" si="82"/>
        <v>7.3</v>
      </c>
      <c r="L76" s="41">
        <v>3.4</v>
      </c>
      <c r="M76" s="40">
        <f t="shared" si="83"/>
        <v>8.478513357</v>
      </c>
      <c r="N76" s="41">
        <v>159.0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77" t="s">
        <v>285</v>
      </c>
      <c r="BH76" s="1"/>
      <c r="BI76" s="40"/>
      <c r="BJ76" s="40"/>
      <c r="BK76" s="41" t="s">
        <v>126</v>
      </c>
      <c r="BL76" s="41" t="s">
        <v>35</v>
      </c>
      <c r="BM76" s="41">
        <v>0.649999999999999</v>
      </c>
      <c r="BN76" s="41" t="s">
        <v>25</v>
      </c>
      <c r="BO76" s="41">
        <v>0.649999999999999</v>
      </c>
      <c r="BP76" s="41" t="s">
        <v>26</v>
      </c>
      <c r="BQ76" s="41">
        <v>146.4</v>
      </c>
      <c r="BR76" s="41">
        <v>158.4</v>
      </c>
      <c r="BS76" s="40">
        <f t="shared" si="80"/>
        <v>12</v>
      </c>
      <c r="BT76" s="41" t="s">
        <v>25</v>
      </c>
      <c r="BU76" s="40">
        <f t="shared" si="81"/>
        <v>8.196721311</v>
      </c>
      <c r="BV76" s="41">
        <v>270.0</v>
      </c>
      <c r="BW76" s="1"/>
      <c r="BX76" s="62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9"/>
      <c r="CL76" s="1"/>
      <c r="DA76" s="1"/>
      <c r="DB76" s="1"/>
      <c r="DC76" s="1"/>
      <c r="DD76" s="1"/>
      <c r="DE76" s="1"/>
      <c r="DF76" s="1"/>
    </row>
    <row r="77">
      <c r="A77" s="40"/>
      <c r="B77" s="40"/>
      <c r="C77" s="41" t="s">
        <v>286</v>
      </c>
      <c r="D77" s="41" t="s">
        <v>23</v>
      </c>
      <c r="E77" s="41" t="s">
        <v>24</v>
      </c>
      <c r="F77" s="41" t="s">
        <v>25</v>
      </c>
      <c r="G77" s="41" t="s">
        <v>24</v>
      </c>
      <c r="H77" s="41" t="s">
        <v>26</v>
      </c>
      <c r="I77" s="41">
        <v>91.7</v>
      </c>
      <c r="J77" s="41">
        <v>108.1</v>
      </c>
      <c r="K77" s="40">
        <f t="shared" si="82"/>
        <v>16.4</v>
      </c>
      <c r="L77" s="40"/>
      <c r="M77" s="42">
        <f t="shared" si="83"/>
        <v>17.88440567</v>
      </c>
      <c r="N77" s="41">
        <v>162.0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40"/>
      <c r="AU77" s="41"/>
      <c r="AV77" s="41" t="s">
        <v>54</v>
      </c>
      <c r="AW77" s="41" t="s">
        <v>140</v>
      </c>
      <c r="AX77" s="41" t="s">
        <v>25</v>
      </c>
      <c r="AY77" s="41" t="s">
        <v>25</v>
      </c>
      <c r="AZ77" s="41" t="s">
        <v>287</v>
      </c>
      <c r="BA77" s="41" t="s">
        <v>32</v>
      </c>
      <c r="BB77" s="41">
        <v>64.95</v>
      </c>
      <c r="BC77" s="41">
        <v>67.7</v>
      </c>
      <c r="BD77" s="40">
        <f t="shared" ref="BD77:BD88" si="84">BC77-BB77</f>
        <v>2.75</v>
      </c>
      <c r="BE77" s="41">
        <v>0.45</v>
      </c>
      <c r="BF77" s="40">
        <f t="shared" ref="BF77:BF88" si="85">BC77*100/BB77-100</f>
        <v>4.234026174</v>
      </c>
      <c r="BG77" s="41">
        <v>241.0</v>
      </c>
      <c r="BH77" s="1"/>
      <c r="BI77" s="40"/>
      <c r="BJ77" s="40"/>
      <c r="BK77" s="41" t="s">
        <v>288</v>
      </c>
      <c r="BL77" s="41" t="s">
        <v>35</v>
      </c>
      <c r="BM77" s="41">
        <v>0.649999999999999</v>
      </c>
      <c r="BN77" s="41" t="s">
        <v>25</v>
      </c>
      <c r="BO77" s="41">
        <v>0.649999999999999</v>
      </c>
      <c r="BP77" s="41" t="s">
        <v>26</v>
      </c>
      <c r="BQ77" s="41">
        <v>103.0</v>
      </c>
      <c r="BR77" s="41">
        <v>109.4</v>
      </c>
      <c r="BS77" s="40">
        <f t="shared" si="80"/>
        <v>6.4</v>
      </c>
      <c r="BT77" s="41">
        <v>1.0</v>
      </c>
      <c r="BU77" s="40">
        <f t="shared" si="81"/>
        <v>6.213592233</v>
      </c>
      <c r="BV77" s="41">
        <v>270.0</v>
      </c>
      <c r="BW77" s="1"/>
      <c r="BX77" s="80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2"/>
      <c r="CL77" s="1"/>
      <c r="DA77" s="1"/>
      <c r="DB77" s="1"/>
      <c r="DC77" s="1"/>
      <c r="DD77" s="1"/>
      <c r="DE77" s="1"/>
      <c r="DF77" s="1"/>
    </row>
    <row r="78">
      <c r="A78" s="40"/>
      <c r="B78" s="40"/>
      <c r="C78" s="41" t="s">
        <v>289</v>
      </c>
      <c r="D78" s="41" t="s">
        <v>23</v>
      </c>
      <c r="E78" s="41" t="s">
        <v>24</v>
      </c>
      <c r="F78" s="41" t="s">
        <v>25</v>
      </c>
      <c r="G78" s="41" t="s">
        <v>24</v>
      </c>
      <c r="H78" s="41" t="s">
        <v>26</v>
      </c>
      <c r="I78" s="41">
        <v>75.7</v>
      </c>
      <c r="J78" s="41">
        <v>86.4</v>
      </c>
      <c r="K78" s="40">
        <f t="shared" si="82"/>
        <v>10.7</v>
      </c>
      <c r="L78" s="41">
        <v>0.2</v>
      </c>
      <c r="M78" s="40">
        <f t="shared" si="83"/>
        <v>14.1347424</v>
      </c>
      <c r="N78" s="41">
        <v>164.0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40"/>
      <c r="AU78" s="40"/>
      <c r="AV78" s="41" t="s">
        <v>152</v>
      </c>
      <c r="AW78" s="41" t="s">
        <v>140</v>
      </c>
      <c r="AX78" s="41" t="s">
        <v>25</v>
      </c>
      <c r="AY78" s="41" t="s">
        <v>25</v>
      </c>
      <c r="AZ78" s="41" t="s">
        <v>287</v>
      </c>
      <c r="BA78" s="41" t="s">
        <v>32</v>
      </c>
      <c r="BB78" s="41">
        <v>160.55</v>
      </c>
      <c r="BC78" s="41">
        <v>166.3</v>
      </c>
      <c r="BD78" s="40">
        <f t="shared" si="84"/>
        <v>5.75</v>
      </c>
      <c r="BE78" s="41">
        <v>0.3</v>
      </c>
      <c r="BF78" s="40">
        <f t="shared" si="85"/>
        <v>3.581438804</v>
      </c>
      <c r="BG78" s="41">
        <v>241.0</v>
      </c>
      <c r="BH78" s="1"/>
      <c r="BI78" s="40"/>
      <c r="BJ78" s="40"/>
      <c r="BK78" s="41" t="s">
        <v>122</v>
      </c>
      <c r="BL78" s="41" t="s">
        <v>35</v>
      </c>
      <c r="BM78" s="41">
        <v>0.649999999999999</v>
      </c>
      <c r="BN78" s="41" t="s">
        <v>25</v>
      </c>
      <c r="BO78" s="41">
        <v>0.649999999999999</v>
      </c>
      <c r="BP78" s="41" t="s">
        <v>26</v>
      </c>
      <c r="BQ78" s="41">
        <v>42.2</v>
      </c>
      <c r="BR78" s="41">
        <v>46.8</v>
      </c>
      <c r="BS78" s="40">
        <f t="shared" si="80"/>
        <v>4.6</v>
      </c>
      <c r="BT78" s="41">
        <v>9.6</v>
      </c>
      <c r="BU78" s="40">
        <f t="shared" si="81"/>
        <v>10.90047393</v>
      </c>
      <c r="BV78" s="41">
        <v>270.0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83" t="s">
        <v>290</v>
      </c>
      <c r="DA78" s="1"/>
      <c r="DB78" s="1"/>
      <c r="DC78" s="1"/>
      <c r="DD78" s="1"/>
      <c r="DE78" s="1"/>
      <c r="DF78" s="1"/>
    </row>
    <row r="79">
      <c r="A79" s="40"/>
      <c r="B79" s="40"/>
      <c r="C79" s="41" t="s">
        <v>189</v>
      </c>
      <c r="D79" s="41" t="s">
        <v>23</v>
      </c>
      <c r="E79" s="41" t="s">
        <v>24</v>
      </c>
      <c r="F79" s="41" t="s">
        <v>25</v>
      </c>
      <c r="G79" s="41" t="s">
        <v>24</v>
      </c>
      <c r="H79" s="41" t="s">
        <v>26</v>
      </c>
      <c r="I79" s="41">
        <v>599.2</v>
      </c>
      <c r="J79" s="41">
        <v>732.5</v>
      </c>
      <c r="K79" s="40">
        <f t="shared" si="82"/>
        <v>133.3</v>
      </c>
      <c r="L79" s="41">
        <v>15.4</v>
      </c>
      <c r="M79" s="42">
        <f t="shared" si="83"/>
        <v>22.24632844</v>
      </c>
      <c r="N79" s="41">
        <v>164.0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40"/>
      <c r="AU79" s="40"/>
      <c r="AV79" s="41" t="s">
        <v>291</v>
      </c>
      <c r="AW79" s="41" t="s">
        <v>140</v>
      </c>
      <c r="AX79" s="41" t="s">
        <v>25</v>
      </c>
      <c r="AY79" s="41" t="s">
        <v>25</v>
      </c>
      <c r="AZ79" s="41" t="s">
        <v>292</v>
      </c>
      <c r="BA79" s="41" t="s">
        <v>32</v>
      </c>
      <c r="BB79" s="41">
        <v>54.8</v>
      </c>
      <c r="BC79" s="41">
        <v>59.3</v>
      </c>
      <c r="BD79" s="40">
        <f t="shared" si="84"/>
        <v>4.5</v>
      </c>
      <c r="BE79" s="41" t="s">
        <v>25</v>
      </c>
      <c r="BF79" s="40">
        <f t="shared" si="85"/>
        <v>8.211678832</v>
      </c>
      <c r="BG79" s="41">
        <v>243.0</v>
      </c>
      <c r="BH79" s="1"/>
      <c r="BI79" s="47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5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DA79" s="1"/>
      <c r="DB79" s="1"/>
      <c r="DC79" s="1"/>
      <c r="DD79" s="1"/>
      <c r="DE79" s="1"/>
      <c r="DF79" s="1"/>
    </row>
    <row r="80">
      <c r="A80" s="40"/>
      <c r="B80" s="40"/>
      <c r="C80" s="41" t="s">
        <v>78</v>
      </c>
      <c r="D80" s="41" t="s">
        <v>23</v>
      </c>
      <c r="E80" s="41" t="s">
        <v>24</v>
      </c>
      <c r="F80" s="41" t="s">
        <v>25</v>
      </c>
      <c r="G80" s="41" t="s">
        <v>24</v>
      </c>
      <c r="H80" s="41" t="s">
        <v>26</v>
      </c>
      <c r="I80" s="41">
        <v>750.8</v>
      </c>
      <c r="J80" s="41">
        <v>841.2</v>
      </c>
      <c r="K80" s="40">
        <f t="shared" si="82"/>
        <v>90.4</v>
      </c>
      <c r="L80" s="41">
        <v>12.3</v>
      </c>
      <c r="M80" s="40">
        <f t="shared" si="83"/>
        <v>12.04049014</v>
      </c>
      <c r="N80" s="41">
        <v>169.0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40"/>
      <c r="AU80" s="40"/>
      <c r="AV80" s="41" t="s">
        <v>293</v>
      </c>
      <c r="AW80" s="41" t="s">
        <v>140</v>
      </c>
      <c r="AX80" s="41">
        <v>0.3</v>
      </c>
      <c r="AY80" s="41" t="s">
        <v>25</v>
      </c>
      <c r="AZ80" s="41">
        <v>0.3</v>
      </c>
      <c r="BA80" s="41" t="s">
        <v>32</v>
      </c>
      <c r="BB80" s="41">
        <v>164.9</v>
      </c>
      <c r="BC80" s="41">
        <v>169.3</v>
      </c>
      <c r="BD80" s="40">
        <f t="shared" si="84"/>
        <v>4.4</v>
      </c>
      <c r="BE80" s="41">
        <v>0.4</v>
      </c>
      <c r="BF80" s="40">
        <f t="shared" si="85"/>
        <v>2.668283808</v>
      </c>
      <c r="BG80" s="41">
        <v>248.0</v>
      </c>
      <c r="BH80" s="1"/>
      <c r="BI80" s="37" t="s">
        <v>294</v>
      </c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5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DA80" s="1"/>
      <c r="DB80" s="1"/>
      <c r="DC80" s="1"/>
      <c r="DD80" s="1"/>
      <c r="DE80" s="1"/>
      <c r="DF80" s="1"/>
    </row>
    <row r="81">
      <c r="A81" s="40"/>
      <c r="B81" s="40"/>
      <c r="C81" s="41" t="s">
        <v>180</v>
      </c>
      <c r="D81" s="41" t="s">
        <v>23</v>
      </c>
      <c r="E81" s="41" t="s">
        <v>24</v>
      </c>
      <c r="F81" s="41" t="s">
        <v>25</v>
      </c>
      <c r="G81" s="41" t="s">
        <v>24</v>
      </c>
      <c r="H81" s="41" t="s">
        <v>26</v>
      </c>
      <c r="I81" s="41">
        <v>191.15</v>
      </c>
      <c r="J81" s="41">
        <v>205.1</v>
      </c>
      <c r="K81" s="40">
        <f t="shared" si="82"/>
        <v>13.95</v>
      </c>
      <c r="L81" s="41">
        <v>1.15</v>
      </c>
      <c r="M81" s="40">
        <f t="shared" si="83"/>
        <v>7.29793356</v>
      </c>
      <c r="N81" s="41">
        <v>174.0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40"/>
      <c r="AU81" s="40"/>
      <c r="AV81" s="41" t="s">
        <v>295</v>
      </c>
      <c r="AW81" s="41" t="s">
        <v>140</v>
      </c>
      <c r="AX81" s="41" t="s">
        <v>25</v>
      </c>
      <c r="AY81" s="41" t="s">
        <v>25</v>
      </c>
      <c r="AZ81" s="41" t="s">
        <v>296</v>
      </c>
      <c r="BA81" s="41" t="s">
        <v>32</v>
      </c>
      <c r="BB81" s="41">
        <v>389.0</v>
      </c>
      <c r="BC81" s="41">
        <v>404.9</v>
      </c>
      <c r="BD81" s="40">
        <f t="shared" si="84"/>
        <v>15.9</v>
      </c>
      <c r="BE81" s="41">
        <v>1.4</v>
      </c>
      <c r="BF81" s="40">
        <f t="shared" si="85"/>
        <v>4.087403599</v>
      </c>
      <c r="BG81" s="41">
        <v>253.0</v>
      </c>
      <c r="BH81" s="1"/>
      <c r="BI81" s="40"/>
      <c r="BJ81" s="40"/>
      <c r="BK81" s="41" t="s">
        <v>191</v>
      </c>
      <c r="BL81" s="41" t="s">
        <v>35</v>
      </c>
      <c r="BM81" s="41">
        <v>0.649999999999999</v>
      </c>
      <c r="BN81" s="41" t="s">
        <v>25</v>
      </c>
      <c r="BO81" s="41">
        <v>0.649999999999999</v>
      </c>
      <c r="BP81" s="41" t="s">
        <v>32</v>
      </c>
      <c r="BQ81" s="41" t="s">
        <v>25</v>
      </c>
      <c r="BR81" s="41">
        <v>300.8</v>
      </c>
      <c r="BS81" s="40" t="str">
        <f t="shared" ref="BS81:BS87" si="86">BR81-BQ81</f>
        <v>#VALUE!</v>
      </c>
      <c r="BT81" s="41" t="s">
        <v>25</v>
      </c>
      <c r="BU81" s="40" t="str">
        <f t="shared" ref="BU81:BU87" si="87">BR81*100/BQ81-100</f>
        <v>#VALUE!</v>
      </c>
      <c r="BV81" s="41">
        <v>279.0</v>
      </c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40"/>
      <c r="CN81" s="40"/>
      <c r="CO81" s="41" t="s">
        <v>297</v>
      </c>
      <c r="CP81" s="41" t="s">
        <v>263</v>
      </c>
      <c r="CQ81" s="41" t="s">
        <v>298</v>
      </c>
      <c r="CR81" s="41" t="s">
        <v>25</v>
      </c>
      <c r="CS81" s="41" t="s">
        <v>298</v>
      </c>
      <c r="CT81" s="41" t="s">
        <v>32</v>
      </c>
      <c r="CU81" s="41">
        <v>856.45</v>
      </c>
      <c r="CV81" s="41">
        <v>902.4</v>
      </c>
      <c r="CW81" s="40">
        <f>CV81-CU81</f>
        <v>45.95</v>
      </c>
      <c r="CX81" s="41">
        <v>6.65</v>
      </c>
      <c r="CY81" s="40">
        <f>CV81*100/CU81-100</f>
        <v>5.365170179</v>
      </c>
      <c r="CZ81" s="41" t="s">
        <v>299</v>
      </c>
      <c r="DA81" s="1"/>
      <c r="DB81" s="1"/>
      <c r="DC81" s="1"/>
      <c r="DD81" s="1"/>
      <c r="DE81" s="1"/>
      <c r="DF81" s="1"/>
    </row>
    <row r="82">
      <c r="A82" s="40"/>
      <c r="B82" s="40"/>
      <c r="C82" s="41" t="s">
        <v>52</v>
      </c>
      <c r="D82" s="41" t="s">
        <v>23</v>
      </c>
      <c r="E82" s="41" t="s">
        <v>24</v>
      </c>
      <c r="F82" s="41" t="s">
        <v>25</v>
      </c>
      <c r="G82" s="41" t="s">
        <v>24</v>
      </c>
      <c r="H82" s="41" t="s">
        <v>26</v>
      </c>
      <c r="I82" s="41">
        <v>54.2</v>
      </c>
      <c r="J82" s="41">
        <v>62.4</v>
      </c>
      <c r="K82" s="40">
        <f t="shared" si="82"/>
        <v>8.2</v>
      </c>
      <c r="L82" s="41">
        <v>0.2</v>
      </c>
      <c r="M82" s="40">
        <f t="shared" si="83"/>
        <v>15.12915129</v>
      </c>
      <c r="N82" s="41">
        <v>174.0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40"/>
      <c r="AU82" s="40"/>
      <c r="AV82" s="41" t="s">
        <v>300</v>
      </c>
      <c r="AW82" s="41" t="s">
        <v>140</v>
      </c>
      <c r="AX82" s="41" t="s">
        <v>25</v>
      </c>
      <c r="AY82" s="41" t="s">
        <v>25</v>
      </c>
      <c r="AZ82" s="41" t="s">
        <v>292</v>
      </c>
      <c r="BA82" s="41" t="s">
        <v>32</v>
      </c>
      <c r="BB82" s="41">
        <v>123.1</v>
      </c>
      <c r="BC82" s="41">
        <v>128.2</v>
      </c>
      <c r="BD82" s="40">
        <f t="shared" si="84"/>
        <v>5.1</v>
      </c>
      <c r="BE82" s="41">
        <v>0.9</v>
      </c>
      <c r="BF82" s="40">
        <f t="shared" si="85"/>
        <v>4.142973193</v>
      </c>
      <c r="BG82" s="41">
        <v>255.0</v>
      </c>
      <c r="BH82" s="1"/>
      <c r="BI82" s="40"/>
      <c r="BJ82" s="40"/>
      <c r="BK82" s="41" t="s">
        <v>34</v>
      </c>
      <c r="BL82" s="41" t="s">
        <v>35</v>
      </c>
      <c r="BM82" s="41">
        <v>0.649999999999999</v>
      </c>
      <c r="BN82" s="41" t="s">
        <v>25</v>
      </c>
      <c r="BO82" s="41">
        <v>0.649999999999999</v>
      </c>
      <c r="BP82" s="41" t="s">
        <v>32</v>
      </c>
      <c r="BQ82" s="41">
        <v>243.0</v>
      </c>
      <c r="BR82" s="41">
        <v>248.6</v>
      </c>
      <c r="BS82" s="40">
        <f t="shared" si="86"/>
        <v>5.6</v>
      </c>
      <c r="BT82" s="41">
        <v>1.0</v>
      </c>
      <c r="BU82" s="40">
        <f t="shared" si="87"/>
        <v>2.304526749</v>
      </c>
      <c r="BV82" s="41">
        <v>312.0</v>
      </c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1"/>
      <c r="DB82" s="1"/>
      <c r="DC82" s="1"/>
      <c r="DD82" s="1"/>
      <c r="DE82" s="1"/>
      <c r="DF82" s="1"/>
    </row>
    <row r="83">
      <c r="A83" s="40"/>
      <c r="B83" s="40"/>
      <c r="C83" s="41" t="s">
        <v>52</v>
      </c>
      <c r="D83" s="41" t="s">
        <v>23</v>
      </c>
      <c r="E83" s="41" t="s">
        <v>24</v>
      </c>
      <c r="F83" s="41" t="s">
        <v>25</v>
      </c>
      <c r="G83" s="41" t="s">
        <v>24</v>
      </c>
      <c r="H83" s="41" t="s">
        <v>26</v>
      </c>
      <c r="I83" s="41">
        <v>87.8</v>
      </c>
      <c r="J83" s="41">
        <v>102.1</v>
      </c>
      <c r="K83" s="40">
        <f t="shared" si="82"/>
        <v>14.3</v>
      </c>
      <c r="L83" s="41">
        <v>0.8</v>
      </c>
      <c r="M83" s="40">
        <f t="shared" si="83"/>
        <v>16.28701595</v>
      </c>
      <c r="N83" s="41">
        <v>175.0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40"/>
      <c r="AU83" s="40"/>
      <c r="AV83" s="41" t="s">
        <v>301</v>
      </c>
      <c r="AW83" s="41" t="s">
        <v>302</v>
      </c>
      <c r="AX83" s="41" t="s">
        <v>296</v>
      </c>
      <c r="AY83" s="41" t="s">
        <v>25</v>
      </c>
      <c r="AZ83" s="41" t="s">
        <v>296</v>
      </c>
      <c r="BA83" s="41" t="s">
        <v>32</v>
      </c>
      <c r="BB83" s="41">
        <v>177.1</v>
      </c>
      <c r="BC83" s="41">
        <v>183.2</v>
      </c>
      <c r="BD83" s="40">
        <f t="shared" si="84"/>
        <v>6.1</v>
      </c>
      <c r="BE83" s="41">
        <v>0.3</v>
      </c>
      <c r="BF83" s="40">
        <f t="shared" si="85"/>
        <v>3.444381705</v>
      </c>
      <c r="BG83" s="41">
        <v>255.0</v>
      </c>
      <c r="BH83" s="1"/>
      <c r="BI83" s="40"/>
      <c r="BJ83" s="40"/>
      <c r="BK83" s="41" t="s">
        <v>208</v>
      </c>
      <c r="BL83" s="41" t="s">
        <v>35</v>
      </c>
      <c r="BM83" s="41">
        <v>0.649999999999999</v>
      </c>
      <c r="BN83" s="41" t="s">
        <v>25</v>
      </c>
      <c r="BO83" s="41">
        <v>0.649999999999999</v>
      </c>
      <c r="BP83" s="41" t="s">
        <v>26</v>
      </c>
      <c r="BQ83" s="41" t="s">
        <v>25</v>
      </c>
      <c r="BR83" s="41">
        <v>93.7</v>
      </c>
      <c r="BS83" s="40" t="str">
        <f t="shared" si="86"/>
        <v>#VALUE!</v>
      </c>
      <c r="BT83" s="41" t="s">
        <v>25</v>
      </c>
      <c r="BU83" s="40" t="str">
        <f t="shared" si="87"/>
        <v>#VALUE!</v>
      </c>
      <c r="BV83" s="41">
        <v>314.0</v>
      </c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84" t="s">
        <v>303</v>
      </c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5"/>
      <c r="DA83" s="1"/>
      <c r="DB83" s="1"/>
      <c r="DC83" s="1"/>
      <c r="DD83" s="1"/>
      <c r="DE83" s="1"/>
      <c r="DF83" s="1"/>
    </row>
    <row r="84">
      <c r="A84" s="40"/>
      <c r="B84" s="40"/>
      <c r="C84" s="41" t="s">
        <v>304</v>
      </c>
      <c r="D84" s="41" t="s">
        <v>23</v>
      </c>
      <c r="E84" s="41" t="s">
        <v>24</v>
      </c>
      <c r="F84" s="41" t="s">
        <v>25</v>
      </c>
      <c r="G84" s="41" t="s">
        <v>24</v>
      </c>
      <c r="H84" s="41" t="s">
        <v>26</v>
      </c>
      <c r="I84" s="41">
        <v>89.2</v>
      </c>
      <c r="J84" s="41">
        <v>102.1</v>
      </c>
      <c r="K84" s="40">
        <f t="shared" si="82"/>
        <v>12.9</v>
      </c>
      <c r="L84" s="41">
        <v>2.1</v>
      </c>
      <c r="M84" s="40">
        <f t="shared" si="83"/>
        <v>14.46188341</v>
      </c>
      <c r="N84" s="41">
        <v>175.0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40"/>
      <c r="AU84" s="40"/>
      <c r="AV84" s="41" t="s">
        <v>87</v>
      </c>
      <c r="AW84" s="41" t="s">
        <v>140</v>
      </c>
      <c r="AX84" s="41" t="s">
        <v>25</v>
      </c>
      <c r="AY84" s="41" t="s">
        <v>25</v>
      </c>
      <c r="AZ84" s="41" t="s">
        <v>287</v>
      </c>
      <c r="BA84" s="41" t="s">
        <v>32</v>
      </c>
      <c r="BB84" s="41">
        <v>105.3</v>
      </c>
      <c r="BC84" s="41">
        <v>110.6</v>
      </c>
      <c r="BD84" s="40">
        <f t="shared" si="84"/>
        <v>5.3</v>
      </c>
      <c r="BE84" s="41" t="s">
        <v>25</v>
      </c>
      <c r="BF84" s="40">
        <f t="shared" si="85"/>
        <v>5.033238367</v>
      </c>
      <c r="BG84" s="41">
        <v>259.0</v>
      </c>
      <c r="BH84" s="1"/>
      <c r="BI84" s="40"/>
      <c r="BJ84" s="40"/>
      <c r="BK84" s="41" t="s">
        <v>305</v>
      </c>
      <c r="BL84" s="41" t="s">
        <v>35</v>
      </c>
      <c r="BM84" s="41">
        <v>0.649999999999999</v>
      </c>
      <c r="BN84" s="41" t="s">
        <v>25</v>
      </c>
      <c r="BO84" s="41">
        <v>0.649999999999999</v>
      </c>
      <c r="BP84" s="41" t="s">
        <v>26</v>
      </c>
      <c r="BQ84" s="41">
        <v>32.2</v>
      </c>
      <c r="BR84" s="41">
        <v>35.1</v>
      </c>
      <c r="BS84" s="40">
        <f t="shared" si="86"/>
        <v>2.9</v>
      </c>
      <c r="BT84" s="41">
        <v>0.15</v>
      </c>
      <c r="BU84" s="40">
        <f t="shared" si="87"/>
        <v>9.00621118</v>
      </c>
      <c r="BV84" s="41">
        <v>314.0</v>
      </c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40"/>
      <c r="CN84" s="40"/>
      <c r="CO84" s="41" t="s">
        <v>44</v>
      </c>
      <c r="CP84" s="41" t="s">
        <v>306</v>
      </c>
      <c r="CQ84" s="41" t="s">
        <v>298</v>
      </c>
      <c r="CR84" s="41" t="s">
        <v>25</v>
      </c>
      <c r="CS84" s="41" t="s">
        <v>298</v>
      </c>
      <c r="CT84" s="41" t="s">
        <v>26</v>
      </c>
      <c r="CU84" s="41">
        <v>496.5</v>
      </c>
      <c r="CV84" s="41">
        <v>527.9</v>
      </c>
      <c r="CW84" s="40">
        <f t="shared" ref="CW84:CW85" si="88">CV84-CU84</f>
        <v>31.4</v>
      </c>
      <c r="CX84" s="41">
        <v>3.7</v>
      </c>
      <c r="CY84" s="41">
        <f t="shared" ref="CY84:CY85" si="89">CV84*100/CU84-100</f>
        <v>6.324269889</v>
      </c>
      <c r="CZ84" s="41" t="s">
        <v>307</v>
      </c>
      <c r="DA84" s="1"/>
      <c r="DB84" s="1"/>
      <c r="DC84" s="1"/>
      <c r="DD84" s="1"/>
      <c r="DE84" s="1"/>
      <c r="DF84" s="1"/>
    </row>
    <row r="85">
      <c r="A85" s="40"/>
      <c r="B85" s="40"/>
      <c r="C85" s="41" t="s">
        <v>64</v>
      </c>
      <c r="D85" s="41" t="s">
        <v>23</v>
      </c>
      <c r="E85" s="41" t="s">
        <v>24</v>
      </c>
      <c r="F85" s="41" t="s">
        <v>25</v>
      </c>
      <c r="G85" s="41" t="s">
        <v>24</v>
      </c>
      <c r="H85" s="41" t="s">
        <v>26</v>
      </c>
      <c r="I85" s="41">
        <v>114.9</v>
      </c>
      <c r="J85" s="41">
        <v>132.8</v>
      </c>
      <c r="K85" s="40">
        <f t="shared" si="82"/>
        <v>17.9</v>
      </c>
      <c r="L85" s="41">
        <v>1.1</v>
      </c>
      <c r="M85" s="40">
        <f t="shared" si="83"/>
        <v>15.57876414</v>
      </c>
      <c r="N85" s="41">
        <v>175.0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40"/>
      <c r="AU85" s="40"/>
      <c r="AV85" s="41" t="s">
        <v>39</v>
      </c>
      <c r="AW85" s="41" t="s">
        <v>308</v>
      </c>
      <c r="AX85" s="41">
        <v>0.35</v>
      </c>
      <c r="AY85" s="41" t="s">
        <v>25</v>
      </c>
      <c r="AZ85" s="41">
        <v>0.35</v>
      </c>
      <c r="BA85" s="41" t="s">
        <v>32</v>
      </c>
      <c r="BB85" s="41">
        <v>98.8</v>
      </c>
      <c r="BC85" s="41">
        <v>101.7</v>
      </c>
      <c r="BD85" s="40">
        <f t="shared" si="84"/>
        <v>2.9</v>
      </c>
      <c r="BE85" s="41">
        <v>0.4</v>
      </c>
      <c r="BF85" s="40">
        <f t="shared" si="85"/>
        <v>2.935222672</v>
      </c>
      <c r="BG85" s="41">
        <v>259.0</v>
      </c>
      <c r="BH85" s="1"/>
      <c r="BI85" s="40"/>
      <c r="BJ85" s="40"/>
      <c r="BK85" s="41" t="s">
        <v>119</v>
      </c>
      <c r="BL85" s="41" t="s">
        <v>35</v>
      </c>
      <c r="BM85" s="41">
        <v>0.649999999999999</v>
      </c>
      <c r="BN85" s="41" t="s">
        <v>25</v>
      </c>
      <c r="BO85" s="41">
        <v>0.649999999999999</v>
      </c>
      <c r="BP85" s="41" t="s">
        <v>26</v>
      </c>
      <c r="BQ85" s="41">
        <v>32.2</v>
      </c>
      <c r="BR85" s="41">
        <v>34.9</v>
      </c>
      <c r="BS85" s="40">
        <f t="shared" si="86"/>
        <v>2.7</v>
      </c>
      <c r="BT85" s="41">
        <v>0.2</v>
      </c>
      <c r="BU85" s="40">
        <f t="shared" si="87"/>
        <v>8.385093168</v>
      </c>
      <c r="BV85" s="41">
        <v>314.0</v>
      </c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40"/>
      <c r="CN85" s="40"/>
      <c r="CO85" s="41" t="s">
        <v>143</v>
      </c>
      <c r="CP85" s="41" t="s">
        <v>309</v>
      </c>
      <c r="CQ85" s="41" t="s">
        <v>298</v>
      </c>
      <c r="CR85" s="41" t="s">
        <v>25</v>
      </c>
      <c r="CS85" s="41" t="s">
        <v>298</v>
      </c>
      <c r="CT85" s="41" t="s">
        <v>26</v>
      </c>
      <c r="CU85" s="57">
        <v>413.9</v>
      </c>
      <c r="CV85" s="41">
        <v>438.9</v>
      </c>
      <c r="CW85" s="40">
        <f t="shared" si="88"/>
        <v>25</v>
      </c>
      <c r="CX85" s="41">
        <v>3.0</v>
      </c>
      <c r="CY85" s="41">
        <f t="shared" si="89"/>
        <v>6.040106306</v>
      </c>
      <c r="CZ85" s="41">
        <v>267.0</v>
      </c>
      <c r="DA85" s="1"/>
      <c r="DB85" s="1"/>
      <c r="DC85" s="1"/>
      <c r="DD85" s="1"/>
      <c r="DE85" s="1"/>
      <c r="DF85" s="1"/>
    </row>
    <row r="86">
      <c r="A86" s="40"/>
      <c r="B86" s="40"/>
      <c r="C86" s="41" t="s">
        <v>59</v>
      </c>
      <c r="D86" s="41" t="s">
        <v>23</v>
      </c>
      <c r="E86" s="41" t="s">
        <v>24</v>
      </c>
      <c r="F86" s="41" t="s">
        <v>25</v>
      </c>
      <c r="G86" s="41" t="s">
        <v>24</v>
      </c>
      <c r="H86" s="41" t="s">
        <v>26</v>
      </c>
      <c r="I86" s="41">
        <v>751.6</v>
      </c>
      <c r="J86" s="41">
        <v>809.2</v>
      </c>
      <c r="K86" s="40">
        <f t="shared" si="82"/>
        <v>57.6</v>
      </c>
      <c r="L86" s="41">
        <v>9.4</v>
      </c>
      <c r="M86" s="40">
        <f t="shared" si="83"/>
        <v>7.663650878</v>
      </c>
      <c r="N86" s="41">
        <v>179.0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40"/>
      <c r="AU86" s="40"/>
      <c r="AV86" s="41" t="s">
        <v>179</v>
      </c>
      <c r="AW86" s="41" t="s">
        <v>308</v>
      </c>
      <c r="AX86" s="41">
        <v>0.35</v>
      </c>
      <c r="AY86" s="41" t="s">
        <v>25</v>
      </c>
      <c r="AZ86" s="41">
        <v>0.35</v>
      </c>
      <c r="BA86" s="41" t="s">
        <v>32</v>
      </c>
      <c r="BB86" s="41">
        <v>50.1</v>
      </c>
      <c r="BC86" s="41">
        <v>51.6</v>
      </c>
      <c r="BD86" s="40">
        <f t="shared" si="84"/>
        <v>1.5</v>
      </c>
      <c r="BE86" s="41" t="s">
        <v>25</v>
      </c>
      <c r="BF86" s="40">
        <f t="shared" si="85"/>
        <v>2.994011976</v>
      </c>
      <c r="BG86" s="41">
        <v>259.0</v>
      </c>
      <c r="BH86" s="1"/>
      <c r="BI86" s="40"/>
      <c r="BJ86" s="40"/>
      <c r="BK86" s="41" t="s">
        <v>132</v>
      </c>
      <c r="BL86" s="41" t="s">
        <v>35</v>
      </c>
      <c r="BM86" s="41">
        <v>0.649999999999999</v>
      </c>
      <c r="BN86" s="41" t="s">
        <v>25</v>
      </c>
      <c r="BO86" s="41">
        <v>0.649999999999999</v>
      </c>
      <c r="BP86" s="41" t="s">
        <v>26</v>
      </c>
      <c r="BQ86" s="41" t="s">
        <v>25</v>
      </c>
      <c r="BR86" s="41">
        <v>66.2</v>
      </c>
      <c r="BS86" s="40" t="str">
        <f t="shared" si="86"/>
        <v>#VALUE!</v>
      </c>
      <c r="BT86" s="41" t="s">
        <v>25</v>
      </c>
      <c r="BU86" s="40" t="str">
        <f t="shared" si="87"/>
        <v>#VALUE!</v>
      </c>
      <c r="BV86" s="41">
        <v>316.0</v>
      </c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84" t="s">
        <v>310</v>
      </c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5"/>
      <c r="DA86" s="1"/>
      <c r="DB86" s="1"/>
      <c r="DC86" s="1"/>
      <c r="DD86" s="1"/>
      <c r="DE86" s="1"/>
      <c r="DF86" s="1"/>
    </row>
    <row r="87">
      <c r="A87" s="40"/>
      <c r="B87" s="40"/>
      <c r="C87" s="41" t="s">
        <v>51</v>
      </c>
      <c r="D87" s="41" t="s">
        <v>23</v>
      </c>
      <c r="E87" s="41" t="s">
        <v>24</v>
      </c>
      <c r="F87" s="41" t="s">
        <v>25</v>
      </c>
      <c r="G87" s="41" t="s">
        <v>24</v>
      </c>
      <c r="H87" s="41" t="s">
        <v>26</v>
      </c>
      <c r="I87" s="41">
        <v>102.5</v>
      </c>
      <c r="J87" s="41">
        <v>130.0</v>
      </c>
      <c r="K87" s="40">
        <f t="shared" si="82"/>
        <v>27.5</v>
      </c>
      <c r="L87" s="41"/>
      <c r="M87" s="42">
        <f t="shared" si="83"/>
        <v>26.82926829</v>
      </c>
      <c r="N87" s="41">
        <v>180.0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40"/>
      <c r="AU87" s="40"/>
      <c r="AV87" s="41" t="s">
        <v>162</v>
      </c>
      <c r="AW87" s="41" t="s">
        <v>308</v>
      </c>
      <c r="AX87" s="41">
        <v>0.35</v>
      </c>
      <c r="AY87" s="41" t="s">
        <v>25</v>
      </c>
      <c r="AZ87" s="41">
        <v>0.35</v>
      </c>
      <c r="BA87" s="41" t="s">
        <v>32</v>
      </c>
      <c r="BB87" s="41">
        <v>36.4</v>
      </c>
      <c r="BC87" s="41">
        <v>37.4</v>
      </c>
      <c r="BD87" s="40">
        <f t="shared" si="84"/>
        <v>1</v>
      </c>
      <c r="BE87" s="41" t="s">
        <v>25</v>
      </c>
      <c r="BF87" s="40">
        <f t="shared" si="85"/>
        <v>2.747252747</v>
      </c>
      <c r="BG87" s="41">
        <v>259.0</v>
      </c>
      <c r="BH87" s="1"/>
      <c r="BI87" s="40"/>
      <c r="BJ87" s="40"/>
      <c r="BK87" s="40"/>
      <c r="BL87" s="41" t="s">
        <v>35</v>
      </c>
      <c r="BM87" s="41">
        <v>0.649999999999999</v>
      </c>
      <c r="BN87" s="41" t="s">
        <v>25</v>
      </c>
      <c r="BO87" s="41">
        <v>0.649999999999999</v>
      </c>
      <c r="BP87" s="41" t="s">
        <v>32</v>
      </c>
      <c r="BQ87" s="40"/>
      <c r="BR87" s="40"/>
      <c r="BS87" s="40">
        <f t="shared" si="86"/>
        <v>0</v>
      </c>
      <c r="BT87" s="40"/>
      <c r="BU87" s="40" t="str">
        <f t="shared" si="87"/>
        <v>#DIV/0!</v>
      </c>
      <c r="BV87" s="40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40"/>
      <c r="CN87" s="40"/>
      <c r="CO87" s="40"/>
      <c r="CP87" s="40"/>
      <c r="CQ87" s="40"/>
      <c r="CR87" s="40"/>
      <c r="CS87" s="40"/>
      <c r="CT87" s="41"/>
      <c r="CU87" s="40"/>
      <c r="CV87" s="40"/>
      <c r="CW87" s="40">
        <f t="shared" ref="CW87:CW89" si="90">CV87-CU87</f>
        <v>0</v>
      </c>
      <c r="CX87" s="40"/>
      <c r="CY87" s="41" t="str">
        <f t="shared" ref="CY87:CY89" si="91">CV87*100/CU87-100</f>
        <v>#DIV/0!</v>
      </c>
      <c r="CZ87" s="40"/>
      <c r="DA87" s="1"/>
      <c r="DB87" s="1"/>
      <c r="DC87" s="1"/>
      <c r="DD87" s="1"/>
      <c r="DE87" s="1"/>
      <c r="DF87" s="1"/>
    </row>
    <row r="88">
      <c r="A88" s="40"/>
      <c r="B88" s="40"/>
      <c r="C88" s="41" t="s">
        <v>44</v>
      </c>
      <c r="D88" s="41" t="s">
        <v>23</v>
      </c>
      <c r="E88" s="41" t="s">
        <v>24</v>
      </c>
      <c r="F88" s="41" t="s">
        <v>25</v>
      </c>
      <c r="G88" s="41" t="s">
        <v>24</v>
      </c>
      <c r="H88" s="41" t="s">
        <v>26</v>
      </c>
      <c r="I88" s="41">
        <v>86.5</v>
      </c>
      <c r="J88" s="41">
        <v>106.7</v>
      </c>
      <c r="K88" s="40">
        <f t="shared" si="82"/>
        <v>20.2</v>
      </c>
      <c r="L88" s="41">
        <v>2.0</v>
      </c>
      <c r="M88" s="42">
        <f t="shared" si="83"/>
        <v>23.35260116</v>
      </c>
      <c r="N88" s="41">
        <v>180.0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40"/>
      <c r="AU88" s="40"/>
      <c r="AV88" s="41" t="s">
        <v>311</v>
      </c>
      <c r="AW88" s="41" t="s">
        <v>140</v>
      </c>
      <c r="AX88" s="41" t="s">
        <v>25</v>
      </c>
      <c r="AY88" s="41" t="s">
        <v>25</v>
      </c>
      <c r="AZ88" s="41" t="s">
        <v>296</v>
      </c>
      <c r="BA88" s="41" t="s">
        <v>26</v>
      </c>
      <c r="BB88" s="41">
        <v>590.9</v>
      </c>
      <c r="BC88" s="41">
        <v>645.7</v>
      </c>
      <c r="BD88" s="40">
        <f t="shared" si="84"/>
        <v>54.8</v>
      </c>
      <c r="BE88" s="41">
        <v>3.6</v>
      </c>
      <c r="BF88" s="40">
        <f t="shared" si="85"/>
        <v>9.273988831</v>
      </c>
      <c r="BG88" s="41">
        <v>261.0</v>
      </c>
      <c r="BH88" s="1"/>
      <c r="BI88" s="47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5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40"/>
      <c r="CN88" s="40"/>
      <c r="CO88" s="40"/>
      <c r="CP88" s="40"/>
      <c r="CQ88" s="40"/>
      <c r="CR88" s="40"/>
      <c r="CS88" s="40"/>
      <c r="CT88" s="41"/>
      <c r="CU88" s="40"/>
      <c r="CV88" s="40"/>
      <c r="CW88" s="40">
        <f t="shared" si="90"/>
        <v>0</v>
      </c>
      <c r="CX88" s="40"/>
      <c r="CY88" s="41" t="str">
        <f t="shared" si="91"/>
        <v>#DIV/0!</v>
      </c>
      <c r="CZ88" s="40"/>
      <c r="DA88" s="1"/>
      <c r="DB88" s="1"/>
      <c r="DC88" s="1"/>
      <c r="DD88" s="1"/>
      <c r="DE88" s="1"/>
      <c r="DF88" s="1"/>
    </row>
    <row r="89">
      <c r="A89" s="40"/>
      <c r="B89" s="40"/>
      <c r="C89" s="41" t="s">
        <v>312</v>
      </c>
      <c r="D89" s="41" t="s">
        <v>23</v>
      </c>
      <c r="E89" s="41" t="s">
        <v>24</v>
      </c>
      <c r="F89" s="41" t="s">
        <v>25</v>
      </c>
      <c r="G89" s="41" t="s">
        <v>24</v>
      </c>
      <c r="H89" s="41" t="s">
        <v>26</v>
      </c>
      <c r="I89" s="41">
        <v>48.1</v>
      </c>
      <c r="J89" s="41">
        <v>54.6</v>
      </c>
      <c r="K89" s="40">
        <f t="shared" si="82"/>
        <v>6.5</v>
      </c>
      <c r="L89" s="41" t="s">
        <v>25</v>
      </c>
      <c r="M89" s="40">
        <f t="shared" si="83"/>
        <v>13.51351351</v>
      </c>
      <c r="N89" s="41">
        <v>182.0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BH89" s="1"/>
      <c r="BI89" s="37" t="s">
        <v>313</v>
      </c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5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40"/>
      <c r="CN89" s="40"/>
      <c r="CO89" s="40"/>
      <c r="CP89" s="40"/>
      <c r="CQ89" s="40"/>
      <c r="CR89" s="40"/>
      <c r="CS89" s="40"/>
      <c r="CT89" s="41"/>
      <c r="CU89" s="40"/>
      <c r="CV89" s="40"/>
      <c r="CW89" s="40">
        <f t="shared" si="90"/>
        <v>0</v>
      </c>
      <c r="CX89" s="40"/>
      <c r="CY89" s="41" t="str">
        <f t="shared" si="91"/>
        <v>#DIV/0!</v>
      </c>
      <c r="CZ89" s="40"/>
      <c r="DA89" s="1"/>
      <c r="DB89" s="1"/>
      <c r="DC89" s="1"/>
      <c r="DD89" s="1"/>
      <c r="DE89" s="1"/>
      <c r="DF89" s="1"/>
    </row>
    <row r="90">
      <c r="A90" s="40"/>
      <c r="B90" s="40"/>
      <c r="C90" s="41" t="s">
        <v>44</v>
      </c>
      <c r="D90" s="41" t="s">
        <v>23</v>
      </c>
      <c r="E90" s="41" t="s">
        <v>24</v>
      </c>
      <c r="F90" s="41" t="s">
        <v>25</v>
      </c>
      <c r="G90" s="41" t="s">
        <v>24</v>
      </c>
      <c r="H90" s="41" t="s">
        <v>26</v>
      </c>
      <c r="I90" s="41">
        <v>84.5</v>
      </c>
      <c r="J90" s="41">
        <v>104.1</v>
      </c>
      <c r="K90" s="40">
        <f t="shared" si="82"/>
        <v>19.6</v>
      </c>
      <c r="L90" s="41">
        <v>0.7</v>
      </c>
      <c r="M90" s="42">
        <f t="shared" si="83"/>
        <v>23.19526627</v>
      </c>
      <c r="N90" s="41">
        <v>191.0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77" t="s">
        <v>314</v>
      </c>
      <c r="BH90" s="1"/>
      <c r="BI90" s="40"/>
      <c r="BJ90" s="40"/>
      <c r="BK90" s="41"/>
      <c r="BL90" s="41"/>
      <c r="BM90" s="41"/>
      <c r="BN90" s="41"/>
      <c r="BO90" s="41"/>
      <c r="BP90" s="41"/>
      <c r="BQ90" s="41"/>
      <c r="BR90" s="41"/>
      <c r="BS90" s="40"/>
      <c r="BT90" s="41"/>
      <c r="BU90" s="40"/>
      <c r="BV90" s="4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40"/>
      <c r="CN90" s="40"/>
      <c r="CO90" s="40"/>
      <c r="CP90" s="40"/>
      <c r="CQ90" s="40"/>
      <c r="CR90" s="40"/>
      <c r="CS90" s="40"/>
      <c r="CT90" s="41"/>
      <c r="CU90" s="40"/>
      <c r="CV90" s="40"/>
      <c r="CW90" s="40"/>
      <c r="CX90" s="40"/>
      <c r="CY90" s="40"/>
      <c r="CZ90" s="40"/>
      <c r="DA90" s="1"/>
      <c r="DB90" s="1"/>
      <c r="DC90" s="1"/>
      <c r="DD90" s="1"/>
      <c r="DE90" s="1"/>
      <c r="DF90" s="1"/>
    </row>
    <row r="91">
      <c r="A91" s="40"/>
      <c r="B91" s="40"/>
      <c r="C91" s="41" t="s">
        <v>98</v>
      </c>
      <c r="D91" s="41" t="s">
        <v>23</v>
      </c>
      <c r="E91" s="41" t="s">
        <v>24</v>
      </c>
      <c r="F91" s="41" t="s">
        <v>25</v>
      </c>
      <c r="G91" s="41" t="s">
        <v>24</v>
      </c>
      <c r="H91" s="41" t="s">
        <v>26</v>
      </c>
      <c r="I91" s="41">
        <v>83.4</v>
      </c>
      <c r="J91" s="41">
        <v>102.8</v>
      </c>
      <c r="K91" s="40">
        <f t="shared" si="82"/>
        <v>19.4</v>
      </c>
      <c r="L91" s="41">
        <v>0.8</v>
      </c>
      <c r="M91" s="42">
        <f t="shared" si="83"/>
        <v>23.26139089</v>
      </c>
      <c r="N91" s="41">
        <v>191.0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40"/>
      <c r="AU91" s="40"/>
      <c r="AV91" s="41" t="s">
        <v>315</v>
      </c>
      <c r="AW91" s="41" t="s">
        <v>308</v>
      </c>
      <c r="AX91" s="41">
        <v>0.3</v>
      </c>
      <c r="AY91" s="41" t="s">
        <v>25</v>
      </c>
      <c r="AZ91" s="41">
        <v>0.3</v>
      </c>
      <c r="BA91" s="41" t="s">
        <v>32</v>
      </c>
      <c r="BB91" s="41">
        <v>92.1</v>
      </c>
      <c r="BC91" s="41">
        <v>94.0</v>
      </c>
      <c r="BD91" s="40">
        <f t="shared" ref="BD91:BD95" si="92">BC91-BB91</f>
        <v>1.9</v>
      </c>
      <c r="BE91" s="41">
        <v>0.9</v>
      </c>
      <c r="BF91" s="40">
        <f t="shared" ref="BF91:BF110" si="93">BC91*100/BB91-100</f>
        <v>2.062975027</v>
      </c>
      <c r="BG91" s="41">
        <v>289.0</v>
      </c>
      <c r="BH91" s="1"/>
      <c r="BI91" s="40"/>
      <c r="BJ91" s="40"/>
      <c r="BK91" s="41"/>
      <c r="BL91" s="41"/>
      <c r="BM91" s="41"/>
      <c r="BN91" s="41"/>
      <c r="BO91" s="41"/>
      <c r="BP91" s="41"/>
      <c r="BQ91" s="41"/>
      <c r="BR91" s="41"/>
      <c r="BS91" s="40"/>
      <c r="BT91" s="41"/>
      <c r="BU91" s="40"/>
      <c r="BV91" s="4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40"/>
      <c r="CN91" s="40"/>
      <c r="CO91" s="40"/>
      <c r="CP91" s="40"/>
      <c r="CQ91" s="40"/>
      <c r="CR91" s="40"/>
      <c r="CS91" s="40"/>
      <c r="CT91" s="41"/>
      <c r="CU91" s="40"/>
      <c r="CV91" s="40"/>
      <c r="CW91" s="40"/>
      <c r="CX91" s="40"/>
      <c r="CY91" s="40"/>
      <c r="CZ91" s="40"/>
      <c r="DA91" s="1"/>
      <c r="DB91" s="1"/>
      <c r="DC91" s="1"/>
      <c r="DD91" s="1"/>
      <c r="DE91" s="1"/>
      <c r="DF91" s="1"/>
    </row>
    <row r="92">
      <c r="A92" s="40"/>
      <c r="B92" s="40"/>
      <c r="C92" s="41" t="s">
        <v>41</v>
      </c>
      <c r="D92" s="41" t="s">
        <v>23</v>
      </c>
      <c r="E92" s="41" t="s">
        <v>24</v>
      </c>
      <c r="F92" s="41" t="s">
        <v>25</v>
      </c>
      <c r="G92" s="41" t="s">
        <v>24</v>
      </c>
      <c r="H92" s="41" t="s">
        <v>26</v>
      </c>
      <c r="I92" s="41">
        <v>136.0</v>
      </c>
      <c r="J92" s="41">
        <v>148.2</v>
      </c>
      <c r="K92" s="40">
        <f t="shared" si="82"/>
        <v>12.2</v>
      </c>
      <c r="L92" s="41">
        <v>0.3</v>
      </c>
      <c r="M92" s="40">
        <f t="shared" si="83"/>
        <v>8.970588235</v>
      </c>
      <c r="N92" s="41">
        <v>192.0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40"/>
      <c r="AU92" s="40"/>
      <c r="AV92" s="41" t="s">
        <v>316</v>
      </c>
      <c r="AW92" s="41" t="s">
        <v>140</v>
      </c>
      <c r="AX92" s="41" t="s">
        <v>25</v>
      </c>
      <c r="AY92" s="41" t="s">
        <v>25</v>
      </c>
      <c r="AZ92" s="41" t="s">
        <v>292</v>
      </c>
      <c r="BA92" s="41" t="s">
        <v>32</v>
      </c>
      <c r="BB92" s="41">
        <v>135.3</v>
      </c>
      <c r="BC92" s="41">
        <v>140.3</v>
      </c>
      <c r="BD92" s="40">
        <f t="shared" si="92"/>
        <v>5</v>
      </c>
      <c r="BE92" s="41">
        <v>0.65</v>
      </c>
      <c r="BF92" s="40">
        <f t="shared" si="93"/>
        <v>3.6954915</v>
      </c>
      <c r="BG92" s="41">
        <v>289.0</v>
      </c>
      <c r="BH92" s="1"/>
      <c r="BI92" s="40"/>
      <c r="BJ92" s="40"/>
      <c r="BK92" s="41"/>
      <c r="BL92" s="41"/>
      <c r="BM92" s="41"/>
      <c r="BN92" s="41"/>
      <c r="BO92" s="41"/>
      <c r="BP92" s="41"/>
      <c r="BQ92" s="41"/>
      <c r="BR92" s="41"/>
      <c r="BS92" s="40"/>
      <c r="BT92" s="41"/>
      <c r="BU92" s="40"/>
      <c r="BV92" s="4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40"/>
      <c r="CN92" s="40"/>
      <c r="CO92" s="40"/>
      <c r="CP92" s="40"/>
      <c r="CQ92" s="40"/>
      <c r="CR92" s="40"/>
      <c r="CS92" s="40"/>
      <c r="CT92" s="41"/>
      <c r="CU92" s="40"/>
      <c r="CV92" s="40"/>
      <c r="CW92" s="40"/>
      <c r="CX92" s="40"/>
      <c r="CY92" s="40"/>
      <c r="CZ92" s="40"/>
      <c r="DA92" s="1"/>
      <c r="DB92" s="1"/>
      <c r="DC92" s="1"/>
      <c r="DD92" s="1"/>
      <c r="DE92" s="1"/>
      <c r="DF92" s="1"/>
    </row>
    <row r="93">
      <c r="A93" s="40"/>
      <c r="B93" s="40"/>
      <c r="C93" s="41" t="s">
        <v>57</v>
      </c>
      <c r="D93" s="41" t="s">
        <v>23</v>
      </c>
      <c r="E93" s="41" t="s">
        <v>317</v>
      </c>
      <c r="F93" s="41" t="s">
        <v>25</v>
      </c>
      <c r="G93" s="41" t="s">
        <v>317</v>
      </c>
      <c r="H93" s="41" t="s">
        <v>26</v>
      </c>
      <c r="I93" s="41">
        <v>75.6</v>
      </c>
      <c r="J93" s="41">
        <v>92.0</v>
      </c>
      <c r="K93" s="40">
        <f t="shared" si="82"/>
        <v>16.4</v>
      </c>
      <c r="L93" s="41">
        <v>13.0</v>
      </c>
      <c r="M93" s="42">
        <f t="shared" si="83"/>
        <v>21.69312169</v>
      </c>
      <c r="N93" s="41">
        <v>192.0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40"/>
      <c r="AU93" s="40"/>
      <c r="AV93" s="41" t="s">
        <v>318</v>
      </c>
      <c r="AW93" s="41" t="s">
        <v>308</v>
      </c>
      <c r="AX93" s="41">
        <v>0.3</v>
      </c>
      <c r="AY93" s="41" t="s">
        <v>25</v>
      </c>
      <c r="AZ93" s="41">
        <v>0.3</v>
      </c>
      <c r="BA93" s="41" t="s">
        <v>32</v>
      </c>
      <c r="BB93" s="41">
        <v>70.3</v>
      </c>
      <c r="BC93" s="41">
        <v>72.5</v>
      </c>
      <c r="BD93" s="40">
        <f t="shared" si="92"/>
        <v>2.2</v>
      </c>
      <c r="BE93" s="41">
        <v>1.3</v>
      </c>
      <c r="BF93" s="40">
        <f t="shared" si="93"/>
        <v>3.129445235</v>
      </c>
      <c r="BG93" s="41">
        <v>291.0</v>
      </c>
      <c r="BH93" s="1"/>
      <c r="BI93" s="40"/>
      <c r="BJ93" s="40"/>
      <c r="BK93" s="41"/>
      <c r="BL93" s="41"/>
      <c r="BM93" s="41"/>
      <c r="BN93" s="41"/>
      <c r="BO93" s="41"/>
      <c r="BP93" s="41"/>
      <c r="BQ93" s="41"/>
      <c r="BR93" s="41"/>
      <c r="BS93" s="40"/>
      <c r="BT93" s="41"/>
      <c r="BU93" s="40"/>
      <c r="BV93" s="4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40"/>
      <c r="CN93" s="40"/>
      <c r="CO93" s="40"/>
      <c r="CP93" s="40"/>
      <c r="CQ93" s="40"/>
      <c r="CR93" s="40"/>
      <c r="CS93" s="40"/>
      <c r="CT93" s="41"/>
      <c r="CU93" s="40"/>
      <c r="CV93" s="40"/>
      <c r="CW93" s="40"/>
      <c r="CX93" s="40"/>
      <c r="CY93" s="40"/>
      <c r="CZ93" s="40"/>
      <c r="DA93" s="1"/>
      <c r="DB93" s="1"/>
      <c r="DC93" s="1"/>
      <c r="DD93" s="1"/>
      <c r="DE93" s="1"/>
      <c r="DF93" s="1"/>
    </row>
    <row r="94">
      <c r="A94" s="40"/>
      <c r="B94" s="40"/>
      <c r="C94" s="41" t="s">
        <v>235</v>
      </c>
      <c r="D94" s="41" t="s">
        <v>23</v>
      </c>
      <c r="E94" s="41" t="s">
        <v>319</v>
      </c>
      <c r="F94" s="41" t="s">
        <v>25</v>
      </c>
      <c r="G94" s="41" t="s">
        <v>319</v>
      </c>
      <c r="H94" s="41" t="s">
        <v>26</v>
      </c>
      <c r="I94" s="41">
        <v>94.6</v>
      </c>
      <c r="J94" s="41">
        <v>105.0</v>
      </c>
      <c r="K94" s="40">
        <f t="shared" si="82"/>
        <v>10.4</v>
      </c>
      <c r="L94" s="41">
        <v>1.7</v>
      </c>
      <c r="M94" s="40">
        <f t="shared" si="83"/>
        <v>10.99365751</v>
      </c>
      <c r="N94" s="41">
        <v>192.0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40"/>
      <c r="AU94" s="40"/>
      <c r="AV94" s="41" t="s">
        <v>320</v>
      </c>
      <c r="AW94" s="41" t="s">
        <v>140</v>
      </c>
      <c r="AX94" s="41" t="s">
        <v>25</v>
      </c>
      <c r="AY94" s="41" t="s">
        <v>25</v>
      </c>
      <c r="AZ94" s="41" t="s">
        <v>292</v>
      </c>
      <c r="BA94" s="41" t="s">
        <v>32</v>
      </c>
      <c r="BB94" s="41">
        <v>35.8</v>
      </c>
      <c r="BC94" s="41">
        <v>36.9</v>
      </c>
      <c r="BD94" s="40">
        <f t="shared" si="92"/>
        <v>1.1</v>
      </c>
      <c r="BE94" s="41">
        <v>0.3</v>
      </c>
      <c r="BF94" s="40">
        <f t="shared" si="93"/>
        <v>3.072625698</v>
      </c>
      <c r="BG94" s="41">
        <v>291.0</v>
      </c>
      <c r="BH94" s="1"/>
      <c r="BI94" s="40"/>
      <c r="BJ94" s="40"/>
      <c r="BK94" s="41"/>
      <c r="BL94" s="41"/>
      <c r="BM94" s="41"/>
      <c r="BN94" s="41"/>
      <c r="BO94" s="41"/>
      <c r="BP94" s="41"/>
      <c r="BQ94" s="41"/>
      <c r="BR94" s="41"/>
      <c r="BS94" s="40"/>
      <c r="BT94" s="41"/>
      <c r="BU94" s="40"/>
      <c r="BV94" s="4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>
      <c r="A95" s="40"/>
      <c r="B95" s="40"/>
      <c r="C95" s="41" t="s">
        <v>63</v>
      </c>
      <c r="D95" s="41" t="s">
        <v>23</v>
      </c>
      <c r="E95" s="41" t="s">
        <v>321</v>
      </c>
      <c r="F95" s="41" t="s">
        <v>25</v>
      </c>
      <c r="G95" s="41" t="s">
        <v>321</v>
      </c>
      <c r="H95" s="41" t="s">
        <v>26</v>
      </c>
      <c r="I95" s="41">
        <v>89.5</v>
      </c>
      <c r="J95" s="41">
        <v>110.0</v>
      </c>
      <c r="K95" s="40">
        <f t="shared" si="82"/>
        <v>20.5</v>
      </c>
      <c r="L95" s="41">
        <v>0.4</v>
      </c>
      <c r="M95" s="42">
        <f t="shared" si="83"/>
        <v>22.90502793</v>
      </c>
      <c r="N95" s="41">
        <v>192.0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40"/>
      <c r="AU95" s="40"/>
      <c r="AV95" s="41" t="s">
        <v>322</v>
      </c>
      <c r="AW95" s="41" t="s">
        <v>302</v>
      </c>
      <c r="AX95" s="41">
        <v>0.45</v>
      </c>
      <c r="AY95" s="41" t="s">
        <v>25</v>
      </c>
      <c r="AZ95" s="41">
        <v>0.45</v>
      </c>
      <c r="BA95" s="41" t="s">
        <v>32</v>
      </c>
      <c r="BB95" s="41">
        <v>40.7</v>
      </c>
      <c r="BC95" s="41">
        <v>42.6</v>
      </c>
      <c r="BD95" s="40">
        <f t="shared" si="92"/>
        <v>1.9</v>
      </c>
      <c r="BE95" s="41">
        <v>0.3</v>
      </c>
      <c r="BF95" s="40">
        <f t="shared" si="93"/>
        <v>4.668304668</v>
      </c>
      <c r="BG95" s="41">
        <v>293.0</v>
      </c>
      <c r="BH95" s="1"/>
      <c r="BI95" s="40"/>
      <c r="BJ95" s="40"/>
      <c r="BK95" s="41"/>
      <c r="BL95" s="41"/>
      <c r="BM95" s="41"/>
      <c r="BN95" s="41"/>
      <c r="BO95" s="41"/>
      <c r="BP95" s="41"/>
      <c r="BQ95" s="41"/>
      <c r="BR95" s="41"/>
      <c r="BS95" s="40"/>
      <c r="BT95" s="41"/>
      <c r="BU95" s="40"/>
      <c r="BV95" s="4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>
      <c r="A96" s="40"/>
      <c r="B96" s="40"/>
      <c r="C96" s="41" t="s">
        <v>185</v>
      </c>
      <c r="D96" s="41" t="s">
        <v>23</v>
      </c>
      <c r="E96" s="41" t="s">
        <v>323</v>
      </c>
      <c r="F96" s="41" t="s">
        <v>25</v>
      </c>
      <c r="G96" s="41" t="s">
        <v>323</v>
      </c>
      <c r="H96" s="41" t="s">
        <v>26</v>
      </c>
      <c r="I96" s="41">
        <v>180.2</v>
      </c>
      <c r="J96" s="41">
        <v>196.5</v>
      </c>
      <c r="K96" s="40">
        <f t="shared" si="82"/>
        <v>16.3</v>
      </c>
      <c r="L96" s="41">
        <v>1.4</v>
      </c>
      <c r="M96" s="40">
        <f t="shared" si="83"/>
        <v>9.045504994</v>
      </c>
      <c r="N96" s="41">
        <v>196.0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40"/>
      <c r="AU96" s="40"/>
      <c r="AV96" s="41" t="s">
        <v>54</v>
      </c>
      <c r="AW96" s="41" t="s">
        <v>302</v>
      </c>
      <c r="AX96" s="41">
        <v>0.45</v>
      </c>
      <c r="AY96" s="41" t="s">
        <v>25</v>
      </c>
      <c r="AZ96" s="41">
        <v>0.45</v>
      </c>
      <c r="BA96" s="41" t="s">
        <v>32</v>
      </c>
      <c r="BB96" s="41" t="s">
        <v>25</v>
      </c>
      <c r="BC96" s="41">
        <v>41.5</v>
      </c>
      <c r="BD96" s="41" t="s">
        <v>25</v>
      </c>
      <c r="BE96" s="41" t="s">
        <v>38</v>
      </c>
      <c r="BF96" s="40" t="str">
        <f t="shared" si="93"/>
        <v>#VALUE!</v>
      </c>
      <c r="BG96" s="41">
        <v>293.0</v>
      </c>
      <c r="BH96" s="1"/>
      <c r="BI96" s="40"/>
      <c r="BJ96" s="40"/>
      <c r="BK96" s="41"/>
      <c r="BL96" s="41"/>
      <c r="BM96" s="41"/>
      <c r="BN96" s="41"/>
      <c r="BO96" s="41"/>
      <c r="BP96" s="41"/>
      <c r="BQ96" s="41"/>
      <c r="BR96" s="41"/>
      <c r="BS96" s="40"/>
      <c r="BT96" s="41"/>
      <c r="BU96" s="40"/>
      <c r="BV96" s="4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>
      <c r="A97" s="47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40"/>
      <c r="AU97" s="40"/>
      <c r="AV97" s="41" t="s">
        <v>179</v>
      </c>
      <c r="AW97" s="41" t="s">
        <v>302</v>
      </c>
      <c r="AX97" s="41">
        <v>0.45</v>
      </c>
      <c r="AY97" s="41" t="s">
        <v>25</v>
      </c>
      <c r="AZ97" s="41">
        <v>0.45</v>
      </c>
      <c r="BA97" s="41" t="s">
        <v>32</v>
      </c>
      <c r="BB97" s="41" t="s">
        <v>25</v>
      </c>
      <c r="BC97" s="41">
        <v>37.6</v>
      </c>
      <c r="BD97" s="41" t="s">
        <v>25</v>
      </c>
      <c r="BE97" s="41" t="s">
        <v>25</v>
      </c>
      <c r="BF97" s="40" t="str">
        <f t="shared" si="93"/>
        <v>#VALUE!</v>
      </c>
      <c r="BG97" s="41">
        <v>293.0</v>
      </c>
      <c r="BH97" s="1"/>
      <c r="BI97" s="40"/>
      <c r="BJ97" s="40"/>
      <c r="BK97" s="41"/>
      <c r="BL97" s="41"/>
      <c r="BM97" s="41"/>
      <c r="BN97" s="41"/>
      <c r="BO97" s="41"/>
      <c r="BP97" s="41"/>
      <c r="BQ97" s="41"/>
      <c r="BR97" s="41"/>
      <c r="BS97" s="42"/>
      <c r="BT97" s="41"/>
      <c r="BU97" s="42"/>
      <c r="BV97" s="4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>
      <c r="A98" s="66" t="s">
        <v>324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40"/>
      <c r="AU98" s="40"/>
      <c r="AV98" s="41" t="s">
        <v>325</v>
      </c>
      <c r="AW98" s="41" t="s">
        <v>140</v>
      </c>
      <c r="AX98" s="41" t="s">
        <v>25</v>
      </c>
      <c r="AY98" s="41" t="s">
        <v>25</v>
      </c>
      <c r="AZ98" s="41" t="s">
        <v>296</v>
      </c>
      <c r="BA98" s="41" t="s">
        <v>32</v>
      </c>
      <c r="BB98" s="41">
        <v>120.6</v>
      </c>
      <c r="BC98" s="41">
        <v>122.6</v>
      </c>
      <c r="BD98" s="40">
        <f t="shared" ref="BD98:BD102" si="94">BC98-BB98</f>
        <v>2</v>
      </c>
      <c r="BE98" s="41">
        <v>2.2</v>
      </c>
      <c r="BF98" s="40">
        <f t="shared" si="93"/>
        <v>1.658374793</v>
      </c>
      <c r="BG98" s="41">
        <v>300.0</v>
      </c>
      <c r="BH98" s="1"/>
      <c r="BI98" s="40"/>
      <c r="BJ98" s="40"/>
      <c r="BK98" s="41"/>
      <c r="BL98" s="41"/>
      <c r="BM98" s="41"/>
      <c r="BN98" s="41"/>
      <c r="BO98" s="41"/>
      <c r="BP98" s="41"/>
      <c r="BQ98" s="41"/>
      <c r="BR98" s="41"/>
      <c r="BS98" s="40"/>
      <c r="BT98" s="41"/>
      <c r="BU98" s="40"/>
      <c r="BV98" s="4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>
      <c r="A99" s="57">
        <v>1.0</v>
      </c>
      <c r="B99" s="40"/>
      <c r="C99" s="41" t="s">
        <v>59</v>
      </c>
      <c r="D99" s="41" t="s">
        <v>23</v>
      </c>
      <c r="E99" s="41">
        <v>0.5</v>
      </c>
      <c r="F99" s="41" t="s">
        <v>25</v>
      </c>
      <c r="G99" s="41">
        <v>0.5</v>
      </c>
      <c r="H99" s="41" t="s">
        <v>326</v>
      </c>
      <c r="I99" s="41">
        <v>1059.6</v>
      </c>
      <c r="J99" s="41">
        <v>1198.0</v>
      </c>
      <c r="K99" s="85">
        <f t="shared" ref="K99:K110" si="95">J99-I99</f>
        <v>138.4</v>
      </c>
      <c r="L99" s="41">
        <v>71.7</v>
      </c>
      <c r="M99" s="86">
        <f t="shared" ref="M99:M118" si="96">J99*100/I99-100</f>
        <v>13.06153265</v>
      </c>
      <c r="N99" s="41" t="s">
        <v>327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40"/>
      <c r="AU99" s="40"/>
      <c r="AV99" s="41" t="s">
        <v>242</v>
      </c>
      <c r="AW99" s="41" t="s">
        <v>140</v>
      </c>
      <c r="AX99" s="41" t="s">
        <v>25</v>
      </c>
      <c r="AY99" s="41" t="s">
        <v>25</v>
      </c>
      <c r="AZ99" s="41" t="s">
        <v>296</v>
      </c>
      <c r="BA99" s="41" t="s">
        <v>32</v>
      </c>
      <c r="BB99" s="41">
        <v>148.6</v>
      </c>
      <c r="BC99" s="41">
        <v>152.3</v>
      </c>
      <c r="BD99" s="40">
        <f t="shared" si="94"/>
        <v>3.7</v>
      </c>
      <c r="BE99" s="41">
        <v>1.5</v>
      </c>
      <c r="BF99" s="40">
        <f t="shared" si="93"/>
        <v>2.489905787</v>
      </c>
      <c r="BG99" s="41">
        <v>300.0</v>
      </c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>
      <c r="A100" s="41">
        <v>2.0</v>
      </c>
      <c r="B100" s="41"/>
      <c r="C100" s="41" t="s">
        <v>328</v>
      </c>
      <c r="D100" s="41" t="s">
        <v>23</v>
      </c>
      <c r="E100" s="41">
        <v>0.5</v>
      </c>
      <c r="F100" s="41" t="s">
        <v>25</v>
      </c>
      <c r="G100" s="41">
        <v>0.5</v>
      </c>
      <c r="H100" s="41" t="s">
        <v>326</v>
      </c>
      <c r="I100" s="41">
        <v>126.1</v>
      </c>
      <c r="J100" s="41">
        <v>144.2</v>
      </c>
      <c r="K100" s="85">
        <f t="shared" si="95"/>
        <v>18.1</v>
      </c>
      <c r="L100" s="41">
        <v>9.9</v>
      </c>
      <c r="M100" s="86">
        <f t="shared" si="96"/>
        <v>14.35368755</v>
      </c>
      <c r="N100" s="41">
        <v>206.0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40"/>
      <c r="AU100" s="40"/>
      <c r="AV100" s="41" t="s">
        <v>322</v>
      </c>
      <c r="AW100" s="41" t="s">
        <v>302</v>
      </c>
      <c r="AX100" s="41">
        <v>0.45</v>
      </c>
      <c r="AY100" s="41" t="s">
        <v>25</v>
      </c>
      <c r="AZ100" s="41">
        <v>0.45</v>
      </c>
      <c r="BA100" s="41" t="s">
        <v>32</v>
      </c>
      <c r="BB100" s="41">
        <v>40.8</v>
      </c>
      <c r="BC100" s="41">
        <v>42.2</v>
      </c>
      <c r="BD100" s="40">
        <f t="shared" si="94"/>
        <v>1.4</v>
      </c>
      <c r="BE100" s="41">
        <v>0.2</v>
      </c>
      <c r="BF100" s="40">
        <f t="shared" si="93"/>
        <v>3.431372549</v>
      </c>
      <c r="BG100" s="41">
        <v>305.0</v>
      </c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>
      <c r="A101" s="41">
        <v>3.0</v>
      </c>
      <c r="B101" s="40"/>
      <c r="C101" s="41" t="s">
        <v>329</v>
      </c>
      <c r="D101" s="41" t="s">
        <v>23</v>
      </c>
      <c r="E101" s="41">
        <v>0.5</v>
      </c>
      <c r="F101" s="41" t="s">
        <v>25</v>
      </c>
      <c r="G101" s="41">
        <v>0.5</v>
      </c>
      <c r="H101" s="41" t="s">
        <v>326</v>
      </c>
      <c r="I101" s="41">
        <v>102.8</v>
      </c>
      <c r="J101" s="41">
        <v>116.7</v>
      </c>
      <c r="K101" s="85">
        <f t="shared" si="95"/>
        <v>13.9</v>
      </c>
      <c r="L101" s="41">
        <v>1.2</v>
      </c>
      <c r="M101" s="86">
        <f t="shared" si="96"/>
        <v>13.52140078</v>
      </c>
      <c r="N101" s="41">
        <v>208.0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40"/>
      <c r="AU101" s="40"/>
      <c r="AV101" s="41" t="s">
        <v>54</v>
      </c>
      <c r="AW101" s="41" t="s">
        <v>302</v>
      </c>
      <c r="AX101" s="41">
        <v>0.45</v>
      </c>
      <c r="AY101" s="41" t="s">
        <v>25</v>
      </c>
      <c r="AZ101" s="41">
        <v>0.45</v>
      </c>
      <c r="BA101" s="41" t="s">
        <v>32</v>
      </c>
      <c r="BB101" s="41">
        <v>47.0</v>
      </c>
      <c r="BC101" s="41">
        <v>49.6</v>
      </c>
      <c r="BD101" s="40">
        <f t="shared" si="94"/>
        <v>2.6</v>
      </c>
      <c r="BE101" s="41" t="s">
        <v>25</v>
      </c>
      <c r="BF101" s="40">
        <f t="shared" si="93"/>
        <v>5.531914894</v>
      </c>
      <c r="BG101" s="41">
        <v>305.0</v>
      </c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>
      <c r="A102" s="41">
        <v>4.0</v>
      </c>
      <c r="B102" s="40"/>
      <c r="C102" s="41" t="s">
        <v>152</v>
      </c>
      <c r="D102" s="41" t="s">
        <v>23</v>
      </c>
      <c r="E102" s="41">
        <v>0.5</v>
      </c>
      <c r="F102" s="41" t="s">
        <v>25</v>
      </c>
      <c r="G102" s="41">
        <v>0.5</v>
      </c>
      <c r="H102" s="41" t="s">
        <v>326</v>
      </c>
      <c r="I102" s="41">
        <v>29.2</v>
      </c>
      <c r="J102" s="41">
        <v>32.4</v>
      </c>
      <c r="K102" s="85">
        <f t="shared" si="95"/>
        <v>3.2</v>
      </c>
      <c r="L102" s="41" t="s">
        <v>25</v>
      </c>
      <c r="M102" s="86">
        <f t="shared" si="96"/>
        <v>10.95890411</v>
      </c>
      <c r="N102" s="41">
        <v>208.0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40"/>
      <c r="AU102" s="40"/>
      <c r="AV102" s="41" t="s">
        <v>330</v>
      </c>
      <c r="AW102" s="41" t="s">
        <v>140</v>
      </c>
      <c r="AX102" s="41" t="s">
        <v>25</v>
      </c>
      <c r="AY102" s="41" t="s">
        <v>25</v>
      </c>
      <c r="AZ102" s="41">
        <v>0.45</v>
      </c>
      <c r="BA102" s="41" t="s">
        <v>26</v>
      </c>
      <c r="BB102" s="41">
        <v>1461.3</v>
      </c>
      <c r="BC102" s="41">
        <v>1589.1</v>
      </c>
      <c r="BD102" s="40">
        <f t="shared" si="94"/>
        <v>127.8</v>
      </c>
      <c r="BE102" s="41">
        <v>4.7</v>
      </c>
      <c r="BF102" s="42">
        <f t="shared" si="93"/>
        <v>8.745637446</v>
      </c>
      <c r="BG102" s="41">
        <v>308.0</v>
      </c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</row>
    <row r="103">
      <c r="A103" s="57">
        <v>5.0</v>
      </c>
      <c r="B103" s="40"/>
      <c r="C103" s="41" t="s">
        <v>79</v>
      </c>
      <c r="D103" s="41" t="s">
        <v>23</v>
      </c>
      <c r="E103" s="41">
        <v>0.5</v>
      </c>
      <c r="F103" s="41" t="s">
        <v>25</v>
      </c>
      <c r="G103" s="41">
        <v>0.5</v>
      </c>
      <c r="H103" s="41" t="s">
        <v>326</v>
      </c>
      <c r="I103" s="41">
        <v>120.9</v>
      </c>
      <c r="J103" s="41">
        <v>136.3</v>
      </c>
      <c r="K103" s="85">
        <f t="shared" si="95"/>
        <v>15.4</v>
      </c>
      <c r="L103" s="41">
        <v>1.1</v>
      </c>
      <c r="M103" s="86">
        <f t="shared" si="96"/>
        <v>12.73779983</v>
      </c>
      <c r="N103" s="41">
        <v>208.0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40"/>
      <c r="AU103" s="40"/>
      <c r="AV103" s="41" t="s">
        <v>331</v>
      </c>
      <c r="AW103" s="41" t="s">
        <v>302</v>
      </c>
      <c r="AX103" s="41">
        <v>0.35</v>
      </c>
      <c r="AY103" s="41" t="s">
        <v>25</v>
      </c>
      <c r="AZ103" s="41">
        <v>0.35</v>
      </c>
      <c r="BA103" s="41" t="s">
        <v>32</v>
      </c>
      <c r="BB103" s="41" t="s">
        <v>25</v>
      </c>
      <c r="BC103" s="41">
        <v>93.0</v>
      </c>
      <c r="BD103" s="41" t="s">
        <v>25</v>
      </c>
      <c r="BE103" s="41">
        <v>0.3</v>
      </c>
      <c r="BF103" s="40" t="str">
        <f t="shared" si="93"/>
        <v>#VALUE!</v>
      </c>
      <c r="BG103" s="41">
        <v>309.0</v>
      </c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</row>
    <row r="104">
      <c r="A104" s="41">
        <v>6.0</v>
      </c>
      <c r="B104" s="40"/>
      <c r="C104" s="41" t="s">
        <v>332</v>
      </c>
      <c r="D104" s="41" t="s">
        <v>23</v>
      </c>
      <c r="E104" s="41">
        <v>0.5</v>
      </c>
      <c r="F104" s="41" t="s">
        <v>25</v>
      </c>
      <c r="G104" s="41">
        <v>0.5</v>
      </c>
      <c r="H104" s="41" t="s">
        <v>326</v>
      </c>
      <c r="I104" s="41">
        <v>173.2</v>
      </c>
      <c r="J104" s="41">
        <v>213.5</v>
      </c>
      <c r="K104" s="85">
        <f t="shared" si="95"/>
        <v>40.3</v>
      </c>
      <c r="L104" s="41" t="s">
        <v>25</v>
      </c>
      <c r="M104" s="42">
        <f t="shared" si="96"/>
        <v>23.26789838</v>
      </c>
      <c r="N104" s="41">
        <v>208.0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40"/>
      <c r="AU104" s="40"/>
      <c r="AV104" s="41" t="s">
        <v>87</v>
      </c>
      <c r="AW104" s="41" t="s">
        <v>140</v>
      </c>
      <c r="AX104" s="41" t="s">
        <v>25</v>
      </c>
      <c r="AY104" s="41" t="s">
        <v>25</v>
      </c>
      <c r="AZ104" s="41" t="s">
        <v>287</v>
      </c>
      <c r="BA104" s="41" t="s">
        <v>32</v>
      </c>
      <c r="BB104" s="41">
        <v>52.3</v>
      </c>
      <c r="BC104" s="41">
        <v>54.7</v>
      </c>
      <c r="BD104" s="40">
        <f t="shared" ref="BD104:BD108" si="97">BC104-BB104</f>
        <v>2.4</v>
      </c>
      <c r="BE104" s="41">
        <v>0.2</v>
      </c>
      <c r="BF104" s="40">
        <f t="shared" si="93"/>
        <v>4.588910134</v>
      </c>
      <c r="BG104" s="41">
        <v>311.0</v>
      </c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</row>
    <row r="105">
      <c r="A105" s="41">
        <v>7.0</v>
      </c>
      <c r="B105" s="40"/>
      <c r="C105" s="41" t="s">
        <v>333</v>
      </c>
      <c r="D105" s="41" t="s">
        <v>23</v>
      </c>
      <c r="E105" s="41">
        <v>0.5</v>
      </c>
      <c r="F105" s="41" t="s">
        <v>25</v>
      </c>
      <c r="G105" s="41">
        <v>0.5</v>
      </c>
      <c r="H105" s="41" t="s">
        <v>326</v>
      </c>
      <c r="I105" s="41">
        <v>184.1</v>
      </c>
      <c r="J105" s="41">
        <v>224.9</v>
      </c>
      <c r="K105" s="85">
        <f t="shared" si="95"/>
        <v>40.8</v>
      </c>
      <c r="L105" s="41">
        <v>2.1</v>
      </c>
      <c r="M105" s="42">
        <f t="shared" si="96"/>
        <v>22.16186855</v>
      </c>
      <c r="N105" s="41">
        <v>208.0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40"/>
      <c r="AU105" s="40"/>
      <c r="AV105" s="41" t="s">
        <v>334</v>
      </c>
      <c r="AW105" s="41" t="s">
        <v>140</v>
      </c>
      <c r="AX105" s="41" t="s">
        <v>25</v>
      </c>
      <c r="AY105" s="41" t="s">
        <v>25</v>
      </c>
      <c r="AZ105" s="41">
        <v>0.5</v>
      </c>
      <c r="BA105" s="41" t="s">
        <v>32</v>
      </c>
      <c r="BB105" s="41">
        <v>86.0</v>
      </c>
      <c r="BC105" s="41">
        <v>90.9</v>
      </c>
      <c r="BD105" s="40">
        <f t="shared" si="97"/>
        <v>4.9</v>
      </c>
      <c r="BE105" s="41">
        <v>0.2</v>
      </c>
      <c r="BF105" s="40">
        <f t="shared" si="93"/>
        <v>5.697674419</v>
      </c>
      <c r="BG105" s="41">
        <v>311.0</v>
      </c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</row>
    <row r="106">
      <c r="A106" s="41">
        <v>8.0</v>
      </c>
      <c r="B106" s="40"/>
      <c r="C106" s="41" t="s">
        <v>41</v>
      </c>
      <c r="D106" s="41" t="s">
        <v>23</v>
      </c>
      <c r="E106" s="41">
        <v>0.5</v>
      </c>
      <c r="F106" s="41" t="s">
        <v>25</v>
      </c>
      <c r="G106" s="41">
        <v>0.5</v>
      </c>
      <c r="H106" s="41" t="s">
        <v>326</v>
      </c>
      <c r="I106" s="41" t="s">
        <v>25</v>
      </c>
      <c r="J106" s="41">
        <v>95.4</v>
      </c>
      <c r="K106" s="85" t="str">
        <f t="shared" si="95"/>
        <v>#VALUE!</v>
      </c>
      <c r="L106" s="41" t="s">
        <v>38</v>
      </c>
      <c r="M106" s="86" t="str">
        <f t="shared" si="96"/>
        <v>#VALUE!</v>
      </c>
      <c r="N106" s="41" t="s">
        <v>335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40"/>
      <c r="AU106" s="40"/>
      <c r="AV106" s="41" t="s">
        <v>190</v>
      </c>
      <c r="AW106" s="41" t="s">
        <v>140</v>
      </c>
      <c r="AX106" s="41" t="s">
        <v>25</v>
      </c>
      <c r="AY106" s="41" t="s">
        <v>25</v>
      </c>
      <c r="AZ106" s="41">
        <v>0.5</v>
      </c>
      <c r="BA106" s="41" t="s">
        <v>32</v>
      </c>
      <c r="BB106" s="41">
        <v>42.7</v>
      </c>
      <c r="BC106" s="41">
        <v>44.8</v>
      </c>
      <c r="BD106" s="40">
        <f t="shared" si="97"/>
        <v>2.1</v>
      </c>
      <c r="BE106" s="41">
        <v>0.2</v>
      </c>
      <c r="BF106" s="40">
        <f t="shared" si="93"/>
        <v>4.918032787</v>
      </c>
      <c r="BG106" s="41">
        <v>311.0</v>
      </c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</row>
    <row r="107">
      <c r="A107" s="57">
        <v>9.0</v>
      </c>
      <c r="B107" s="40"/>
      <c r="C107" s="41" t="s">
        <v>57</v>
      </c>
      <c r="D107" s="41" t="s">
        <v>23</v>
      </c>
      <c r="E107" s="41">
        <v>0.5</v>
      </c>
      <c r="F107" s="41" t="s">
        <v>25</v>
      </c>
      <c r="G107" s="41">
        <v>0.5</v>
      </c>
      <c r="H107" s="41" t="s">
        <v>326</v>
      </c>
      <c r="I107" s="41" t="s">
        <v>25</v>
      </c>
      <c r="J107" s="41">
        <v>191.6</v>
      </c>
      <c r="K107" s="85" t="str">
        <f t="shared" si="95"/>
        <v>#VALUE!</v>
      </c>
      <c r="L107" s="41">
        <v>14.5</v>
      </c>
      <c r="M107" s="86" t="str">
        <f t="shared" si="96"/>
        <v>#VALUE!</v>
      </c>
      <c r="N107" s="41">
        <v>210.0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40"/>
      <c r="AU107" s="40"/>
      <c r="AV107" s="41" t="s">
        <v>52</v>
      </c>
      <c r="AW107" s="41" t="s">
        <v>308</v>
      </c>
      <c r="AX107" s="41">
        <v>0.35</v>
      </c>
      <c r="AY107" s="41" t="s">
        <v>25</v>
      </c>
      <c r="AZ107" s="41">
        <v>0.35</v>
      </c>
      <c r="BA107" s="41" t="s">
        <v>32</v>
      </c>
      <c r="BB107" s="41">
        <v>33.2</v>
      </c>
      <c r="BC107" s="41">
        <v>34.2</v>
      </c>
      <c r="BD107" s="40">
        <f t="shared" si="97"/>
        <v>1</v>
      </c>
      <c r="BE107" s="41">
        <v>0.2</v>
      </c>
      <c r="BF107" s="40">
        <f t="shared" si="93"/>
        <v>3.012048193</v>
      </c>
      <c r="BG107" s="41">
        <v>311.0</v>
      </c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</row>
    <row r="108">
      <c r="A108" s="41">
        <v>10.0</v>
      </c>
      <c r="B108" s="40"/>
      <c r="C108" s="41" t="s">
        <v>44</v>
      </c>
      <c r="D108" s="41" t="s">
        <v>23</v>
      </c>
      <c r="E108" s="41">
        <v>0.5</v>
      </c>
      <c r="F108" s="41" t="s">
        <v>25</v>
      </c>
      <c r="G108" s="41">
        <v>0.5</v>
      </c>
      <c r="H108" s="41" t="s">
        <v>326</v>
      </c>
      <c r="I108" s="41">
        <v>83.4</v>
      </c>
      <c r="J108" s="41">
        <v>102.3</v>
      </c>
      <c r="K108" s="85">
        <f t="shared" si="95"/>
        <v>18.9</v>
      </c>
      <c r="L108" s="41">
        <v>1.6</v>
      </c>
      <c r="M108" s="42">
        <f t="shared" si="96"/>
        <v>22.6618705</v>
      </c>
      <c r="N108" s="41">
        <v>212.0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40"/>
      <c r="AU108" s="40"/>
      <c r="AV108" s="41" t="s">
        <v>336</v>
      </c>
      <c r="AW108" s="41" t="s">
        <v>308</v>
      </c>
      <c r="AX108" s="41">
        <v>0.35</v>
      </c>
      <c r="AY108" s="41" t="s">
        <v>25</v>
      </c>
      <c r="AZ108" s="41">
        <v>0.35</v>
      </c>
      <c r="BA108" s="41" t="s">
        <v>32</v>
      </c>
      <c r="BB108" s="41">
        <v>106.4</v>
      </c>
      <c r="BC108" s="41">
        <v>109.5</v>
      </c>
      <c r="BD108" s="40">
        <f t="shared" si="97"/>
        <v>3.1</v>
      </c>
      <c r="BE108" s="41">
        <v>1.0</v>
      </c>
      <c r="BF108" s="40">
        <f t="shared" si="93"/>
        <v>2.913533835</v>
      </c>
      <c r="BG108" s="41">
        <v>315.0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</row>
    <row r="109">
      <c r="A109" s="41">
        <v>11.0</v>
      </c>
      <c r="B109" s="40"/>
      <c r="C109" s="41" t="s">
        <v>98</v>
      </c>
      <c r="D109" s="41" t="s">
        <v>23</v>
      </c>
      <c r="E109" s="41">
        <v>0.5</v>
      </c>
      <c r="F109" s="41" t="s">
        <v>25</v>
      </c>
      <c r="G109" s="41">
        <v>0.5</v>
      </c>
      <c r="H109" s="41" t="s">
        <v>326</v>
      </c>
      <c r="I109" s="41">
        <v>85.05</v>
      </c>
      <c r="J109" s="41">
        <v>101.9</v>
      </c>
      <c r="K109" s="85">
        <f t="shared" si="95"/>
        <v>16.85</v>
      </c>
      <c r="L109" s="41">
        <v>0.65</v>
      </c>
      <c r="M109" s="42">
        <f t="shared" si="96"/>
        <v>19.81187537</v>
      </c>
      <c r="N109" s="41">
        <v>212.0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40"/>
      <c r="AU109" s="40"/>
      <c r="AV109" s="41" t="s">
        <v>179</v>
      </c>
      <c r="AW109" s="41" t="s">
        <v>308</v>
      </c>
      <c r="AX109" s="41">
        <v>0.35</v>
      </c>
      <c r="AY109" s="41" t="s">
        <v>25</v>
      </c>
      <c r="AZ109" s="41">
        <v>0.35</v>
      </c>
      <c r="BA109" s="41" t="s">
        <v>32</v>
      </c>
      <c r="BB109" s="41" t="s">
        <v>25</v>
      </c>
      <c r="BC109" s="41">
        <v>66.0</v>
      </c>
      <c r="BD109" s="41" t="s">
        <v>25</v>
      </c>
      <c r="BE109" s="41">
        <v>0.5</v>
      </c>
      <c r="BF109" s="40" t="str">
        <f t="shared" si="93"/>
        <v>#VALUE!</v>
      </c>
      <c r="BG109" s="41">
        <v>315.0</v>
      </c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</row>
    <row r="110">
      <c r="A110" s="41">
        <v>12.0</v>
      </c>
      <c r="B110" s="40"/>
      <c r="C110" s="41" t="s">
        <v>337</v>
      </c>
      <c r="D110" s="41" t="s">
        <v>23</v>
      </c>
      <c r="E110" s="41">
        <v>0.5</v>
      </c>
      <c r="F110" s="41" t="s">
        <v>25</v>
      </c>
      <c r="G110" s="41">
        <v>0.5</v>
      </c>
      <c r="H110" s="41" t="s">
        <v>338</v>
      </c>
      <c r="I110" s="41">
        <v>625.1</v>
      </c>
      <c r="J110" s="41">
        <v>656.7</v>
      </c>
      <c r="K110" s="85">
        <f t="shared" si="95"/>
        <v>31.6</v>
      </c>
      <c r="L110" s="41">
        <v>7.0</v>
      </c>
      <c r="M110" s="86">
        <f t="shared" si="96"/>
        <v>5.055191169</v>
      </c>
      <c r="N110" s="41">
        <v>213.0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40"/>
      <c r="AU110" s="40"/>
      <c r="AV110" s="41" t="s">
        <v>339</v>
      </c>
      <c r="AW110" s="41" t="s">
        <v>140</v>
      </c>
      <c r="AX110" s="41">
        <v>0.4</v>
      </c>
      <c r="AY110" s="41" t="s">
        <v>25</v>
      </c>
      <c r="AZ110" s="41">
        <v>0.4</v>
      </c>
      <c r="BA110" s="41" t="s">
        <v>32</v>
      </c>
      <c r="BB110" s="41">
        <v>662.9</v>
      </c>
      <c r="BC110" s="41">
        <v>691.1</v>
      </c>
      <c r="BD110" s="40">
        <f>BC110-BB110</f>
        <v>28.2</v>
      </c>
      <c r="BE110" s="41">
        <v>4.2</v>
      </c>
      <c r="BF110" s="40">
        <f t="shared" si="93"/>
        <v>4.254035299</v>
      </c>
      <c r="BG110" s="41">
        <v>319.0</v>
      </c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</row>
    <row r="111">
      <c r="A111" s="57">
        <v>13.0</v>
      </c>
      <c r="B111" s="40"/>
      <c r="C111" s="41" t="s">
        <v>63</v>
      </c>
      <c r="D111" s="41" t="s">
        <v>23</v>
      </c>
      <c r="E111" s="41">
        <v>0.5</v>
      </c>
      <c r="F111" s="41" t="s">
        <v>25</v>
      </c>
      <c r="G111" s="41">
        <v>0.5</v>
      </c>
      <c r="H111" s="41" t="s">
        <v>326</v>
      </c>
      <c r="I111" s="87" t="s">
        <v>25</v>
      </c>
      <c r="J111" s="41">
        <v>70.6</v>
      </c>
      <c r="K111" s="85" t="s">
        <v>25</v>
      </c>
      <c r="L111" s="41" t="s">
        <v>25</v>
      </c>
      <c r="M111" s="86" t="str">
        <f t="shared" si="96"/>
        <v>#VALUE!</v>
      </c>
      <c r="N111" s="41">
        <v>217.0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</row>
    <row r="112">
      <c r="A112" s="41">
        <v>14.0</v>
      </c>
      <c r="B112" s="40"/>
      <c r="C112" s="41" t="s">
        <v>185</v>
      </c>
      <c r="D112" s="41" t="s">
        <v>23</v>
      </c>
      <c r="E112" s="41">
        <v>0.5</v>
      </c>
      <c r="F112" s="41" t="s">
        <v>25</v>
      </c>
      <c r="G112" s="41">
        <v>0.5</v>
      </c>
      <c r="H112" s="41" t="s">
        <v>326</v>
      </c>
      <c r="I112" s="41">
        <v>306.2</v>
      </c>
      <c r="J112" s="41">
        <v>330.4</v>
      </c>
      <c r="K112" s="85">
        <f t="shared" ref="K112:K118" si="98">J112-I112</f>
        <v>24.2</v>
      </c>
      <c r="L112" s="41">
        <v>4.5</v>
      </c>
      <c r="M112" s="86">
        <f t="shared" si="96"/>
        <v>7.903331156</v>
      </c>
      <c r="N112" s="41">
        <v>219.0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50" t="s">
        <v>340</v>
      </c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5"/>
      <c r="BH112" s="1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</row>
    <row r="113">
      <c r="A113" s="41">
        <v>15.0</v>
      </c>
      <c r="B113" s="40"/>
      <c r="C113" s="41" t="s">
        <v>162</v>
      </c>
      <c r="D113" s="41" t="s">
        <v>23</v>
      </c>
      <c r="E113" s="41">
        <v>0.5</v>
      </c>
      <c r="F113" s="41" t="s">
        <v>25</v>
      </c>
      <c r="G113" s="41">
        <v>0.5</v>
      </c>
      <c r="H113" s="41" t="s">
        <v>326</v>
      </c>
      <c r="I113" s="41" t="s">
        <v>25</v>
      </c>
      <c r="J113" s="41">
        <v>102.8</v>
      </c>
      <c r="K113" s="85" t="str">
        <f t="shared" si="98"/>
        <v>#VALUE!</v>
      </c>
      <c r="L113" s="41" t="s">
        <v>25</v>
      </c>
      <c r="M113" s="86" t="str">
        <f t="shared" si="96"/>
        <v>#VALUE!</v>
      </c>
      <c r="N113" s="41">
        <v>219.0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40"/>
      <c r="AU113" s="40"/>
      <c r="AV113" s="40"/>
      <c r="AW113" s="40"/>
      <c r="AX113" s="40"/>
      <c r="AY113" s="40"/>
      <c r="AZ113" s="40"/>
      <c r="BA113" s="41"/>
      <c r="BB113" s="40"/>
      <c r="BC113" s="40"/>
      <c r="BD113" s="40"/>
      <c r="BE113" s="40"/>
      <c r="BF113" s="40"/>
      <c r="BG113" s="40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</row>
    <row r="114">
      <c r="A114" s="41">
        <v>16.0</v>
      </c>
      <c r="B114" s="40"/>
      <c r="C114" s="41" t="s">
        <v>63</v>
      </c>
      <c r="D114" s="41" t="s">
        <v>23</v>
      </c>
      <c r="E114" s="41">
        <v>0.5</v>
      </c>
      <c r="F114" s="41" t="s">
        <v>25</v>
      </c>
      <c r="G114" s="41">
        <v>0.5</v>
      </c>
      <c r="H114" s="41" t="s">
        <v>326</v>
      </c>
      <c r="I114" s="41" t="s">
        <v>25</v>
      </c>
      <c r="J114" s="41">
        <v>71.6</v>
      </c>
      <c r="K114" s="85" t="str">
        <f t="shared" si="98"/>
        <v>#VALUE!</v>
      </c>
      <c r="L114" s="41" t="s">
        <v>25</v>
      </c>
      <c r="M114" s="86" t="str">
        <f t="shared" si="96"/>
        <v>#VALUE!</v>
      </c>
      <c r="N114" s="41">
        <v>220.0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40"/>
      <c r="AU114" s="40"/>
      <c r="AV114" s="40"/>
      <c r="AW114" s="40"/>
      <c r="AX114" s="40"/>
      <c r="AY114" s="40"/>
      <c r="AZ114" s="40"/>
      <c r="BA114" s="41"/>
      <c r="BB114" s="40"/>
      <c r="BC114" s="40"/>
      <c r="BD114" s="40"/>
      <c r="BE114" s="40"/>
      <c r="BF114" s="40"/>
      <c r="BG114" s="40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</row>
    <row r="115">
      <c r="A115" s="57">
        <v>17.0</v>
      </c>
      <c r="B115" s="40"/>
      <c r="C115" s="41" t="s">
        <v>173</v>
      </c>
      <c r="D115" s="41" t="s">
        <v>23</v>
      </c>
      <c r="E115" s="41">
        <v>0.5</v>
      </c>
      <c r="F115" s="41" t="s">
        <v>25</v>
      </c>
      <c r="G115" s="41">
        <v>0.5</v>
      </c>
      <c r="H115" s="41" t="s">
        <v>326</v>
      </c>
      <c r="I115" s="41">
        <v>52.55</v>
      </c>
      <c r="J115" s="41">
        <v>56.1</v>
      </c>
      <c r="K115" s="85">
        <f t="shared" si="98"/>
        <v>3.55</v>
      </c>
      <c r="L115" s="41">
        <v>2.25</v>
      </c>
      <c r="M115" s="86">
        <f t="shared" si="96"/>
        <v>6.75547098</v>
      </c>
      <c r="N115" s="41">
        <v>220.0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40"/>
      <c r="AU115" s="40"/>
      <c r="AV115" s="40"/>
      <c r="AW115" s="40"/>
      <c r="AX115" s="40"/>
      <c r="AY115" s="40"/>
      <c r="AZ115" s="40"/>
      <c r="BA115" s="41"/>
      <c r="BB115" s="40"/>
      <c r="BC115" s="40"/>
      <c r="BD115" s="40"/>
      <c r="BE115" s="40"/>
      <c r="BF115" s="40"/>
      <c r="BG115" s="40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</row>
    <row r="116">
      <c r="A116" s="41">
        <v>18.0</v>
      </c>
      <c r="B116" s="40"/>
      <c r="C116" s="41" t="s">
        <v>341</v>
      </c>
      <c r="D116" s="41" t="s">
        <v>23</v>
      </c>
      <c r="E116" s="41">
        <v>0.5</v>
      </c>
      <c r="F116" s="41" t="s">
        <v>25</v>
      </c>
      <c r="G116" s="41">
        <v>0.5</v>
      </c>
      <c r="H116" s="41" t="s">
        <v>326</v>
      </c>
      <c r="I116" s="41">
        <v>106.9</v>
      </c>
      <c r="J116" s="41">
        <v>119.6</v>
      </c>
      <c r="K116" s="85">
        <f t="shared" si="98"/>
        <v>12.7</v>
      </c>
      <c r="L116" s="41">
        <v>3.1</v>
      </c>
      <c r="M116" s="86">
        <f t="shared" si="96"/>
        <v>11.88026193</v>
      </c>
      <c r="N116" s="41">
        <v>221.0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40"/>
      <c r="AU116" s="40"/>
      <c r="AV116" s="40"/>
      <c r="AW116" s="40"/>
      <c r="AX116" s="40"/>
      <c r="AY116" s="40"/>
      <c r="AZ116" s="40"/>
      <c r="BA116" s="41"/>
      <c r="BB116" s="40"/>
      <c r="BC116" s="40"/>
      <c r="BD116" s="40"/>
      <c r="BE116" s="40"/>
      <c r="BF116" s="40"/>
      <c r="BG116" s="40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</row>
    <row r="117">
      <c r="A117" s="41">
        <v>19.0</v>
      </c>
      <c r="B117" s="40"/>
      <c r="C117" s="41" t="s">
        <v>22</v>
      </c>
      <c r="D117" s="41" t="s">
        <v>23</v>
      </c>
      <c r="E117" s="41">
        <v>0.5</v>
      </c>
      <c r="F117" s="41" t="s">
        <v>25</v>
      </c>
      <c r="G117" s="41">
        <v>0.5</v>
      </c>
      <c r="H117" s="41" t="s">
        <v>326</v>
      </c>
      <c r="I117" s="41">
        <v>111.5</v>
      </c>
      <c r="J117" s="41">
        <v>120.2</v>
      </c>
      <c r="K117" s="85">
        <f t="shared" si="98"/>
        <v>8.7</v>
      </c>
      <c r="L117" s="41">
        <v>2.0</v>
      </c>
      <c r="M117" s="86">
        <f t="shared" si="96"/>
        <v>7.802690583</v>
      </c>
      <c r="N117" s="41">
        <v>221.0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</row>
    <row r="118">
      <c r="A118" s="41">
        <v>20.0</v>
      </c>
      <c r="B118" s="40"/>
      <c r="C118" s="41" t="s">
        <v>77</v>
      </c>
      <c r="D118" s="41" t="s">
        <v>23</v>
      </c>
      <c r="E118" s="41">
        <v>0.5</v>
      </c>
      <c r="F118" s="41" t="s">
        <v>25</v>
      </c>
      <c r="G118" s="41">
        <v>0.5</v>
      </c>
      <c r="H118" s="41" t="s">
        <v>326</v>
      </c>
      <c r="I118" s="41">
        <v>68.6</v>
      </c>
      <c r="J118" s="41">
        <v>75.5</v>
      </c>
      <c r="K118" s="85">
        <f t="shared" si="98"/>
        <v>6.9</v>
      </c>
      <c r="L118" s="41">
        <v>3.1</v>
      </c>
      <c r="M118" s="86">
        <f t="shared" si="96"/>
        <v>10.05830904</v>
      </c>
      <c r="N118" s="41">
        <v>236.0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</row>
    <row r="119">
      <c r="A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</row>
    <row r="120">
      <c r="A120" s="66" t="s">
        <v>342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</row>
    <row r="121">
      <c r="A121" s="41">
        <v>21.0</v>
      </c>
      <c r="B121" s="40"/>
      <c r="C121" s="41" t="s">
        <v>343</v>
      </c>
      <c r="D121" s="41" t="s">
        <v>23</v>
      </c>
      <c r="E121" s="41">
        <v>0.5</v>
      </c>
      <c r="F121" s="41" t="s">
        <v>25</v>
      </c>
      <c r="G121" s="41">
        <v>0.5</v>
      </c>
      <c r="H121" s="41" t="s">
        <v>326</v>
      </c>
      <c r="I121" s="41">
        <v>349.75</v>
      </c>
      <c r="J121" s="41">
        <v>408.6</v>
      </c>
      <c r="K121" s="85">
        <f t="shared" ref="K121:K130" si="99">J121-I121</f>
        <v>58.85</v>
      </c>
      <c r="L121" s="41">
        <v>2.0</v>
      </c>
      <c r="M121" s="86">
        <f t="shared" ref="M121:M130" si="100">J121*100/I121-100</f>
        <v>16.8263045</v>
      </c>
      <c r="N121" s="41">
        <v>242.0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</row>
    <row r="122">
      <c r="A122" s="41">
        <v>22.0</v>
      </c>
      <c r="B122" s="40"/>
      <c r="C122" s="41" t="s">
        <v>189</v>
      </c>
      <c r="D122" s="41" t="s">
        <v>23</v>
      </c>
      <c r="E122" s="41">
        <v>0.5</v>
      </c>
      <c r="F122" s="41" t="s">
        <v>25</v>
      </c>
      <c r="G122" s="41">
        <v>0.5</v>
      </c>
      <c r="H122" s="41" t="s">
        <v>326</v>
      </c>
      <c r="I122" s="41">
        <v>128.5</v>
      </c>
      <c r="J122" s="41">
        <v>152.3</v>
      </c>
      <c r="K122" s="85">
        <f t="shared" si="99"/>
        <v>23.8</v>
      </c>
      <c r="L122" s="41">
        <v>0.5</v>
      </c>
      <c r="M122" s="86">
        <f t="shared" si="100"/>
        <v>18.52140078</v>
      </c>
      <c r="N122" s="41">
        <v>242.0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</row>
    <row r="123">
      <c r="A123" s="41">
        <v>23.0</v>
      </c>
      <c r="B123" s="40"/>
      <c r="C123" s="41" t="s">
        <v>328</v>
      </c>
      <c r="D123" s="41" t="s">
        <v>23</v>
      </c>
      <c r="E123" s="41">
        <v>0.5</v>
      </c>
      <c r="F123" s="41" t="s">
        <v>25</v>
      </c>
      <c r="G123" s="41">
        <v>0.5</v>
      </c>
      <c r="H123" s="41" t="s">
        <v>326</v>
      </c>
      <c r="I123" s="41">
        <v>523.83</v>
      </c>
      <c r="J123" s="41">
        <v>593.0</v>
      </c>
      <c r="K123" s="85">
        <f t="shared" si="99"/>
        <v>69.17</v>
      </c>
      <c r="L123" s="41">
        <v>13.62</v>
      </c>
      <c r="M123" s="86">
        <f t="shared" si="100"/>
        <v>13.20466564</v>
      </c>
      <c r="N123" s="41" t="s">
        <v>344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</row>
    <row r="124">
      <c r="A124" s="41">
        <v>24.0</v>
      </c>
      <c r="B124" s="40"/>
      <c r="C124" s="41" t="s">
        <v>329</v>
      </c>
      <c r="D124" s="41" t="s">
        <v>23</v>
      </c>
      <c r="E124" s="41">
        <v>0.5</v>
      </c>
      <c r="F124" s="41" t="s">
        <v>25</v>
      </c>
      <c r="G124" s="41">
        <v>0.5</v>
      </c>
      <c r="H124" s="41" t="s">
        <v>326</v>
      </c>
      <c r="I124" s="41" t="s">
        <v>25</v>
      </c>
      <c r="J124" s="41">
        <v>100.5</v>
      </c>
      <c r="K124" s="85" t="str">
        <f t="shared" si="99"/>
        <v>#VALUE!</v>
      </c>
      <c r="L124" s="41" t="s">
        <v>25</v>
      </c>
      <c r="M124" s="86" t="str">
        <f t="shared" si="100"/>
        <v>#VALUE!</v>
      </c>
      <c r="N124" s="41">
        <v>266.0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</row>
    <row r="125">
      <c r="A125" s="41">
        <v>25.0</v>
      </c>
      <c r="B125" s="40"/>
      <c r="C125" s="41" t="s">
        <v>332</v>
      </c>
      <c r="D125" s="41" t="s">
        <v>23</v>
      </c>
      <c r="E125" s="41">
        <v>0.5</v>
      </c>
      <c r="F125" s="41" t="s">
        <v>25</v>
      </c>
      <c r="G125" s="41">
        <v>0.5</v>
      </c>
      <c r="H125" s="41" t="s">
        <v>326</v>
      </c>
      <c r="I125" s="41">
        <v>94.5</v>
      </c>
      <c r="J125" s="41">
        <v>107.0</v>
      </c>
      <c r="K125" s="85">
        <f t="shared" si="99"/>
        <v>12.5</v>
      </c>
      <c r="L125" s="41">
        <v>1.5</v>
      </c>
      <c r="M125" s="86">
        <f t="shared" si="100"/>
        <v>13.22751323</v>
      </c>
      <c r="N125" s="41">
        <v>266.0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</row>
    <row r="126">
      <c r="A126" s="41">
        <v>26.0</v>
      </c>
      <c r="B126" s="40"/>
      <c r="C126" s="41" t="s">
        <v>333</v>
      </c>
      <c r="D126" s="41" t="s">
        <v>23</v>
      </c>
      <c r="E126" s="41">
        <v>0.5</v>
      </c>
      <c r="F126" s="41" t="s">
        <v>25</v>
      </c>
      <c r="G126" s="41">
        <v>0.5</v>
      </c>
      <c r="H126" s="41" t="s">
        <v>326</v>
      </c>
      <c r="I126" s="41" t="s">
        <v>25</v>
      </c>
      <c r="J126" s="41">
        <v>108.2</v>
      </c>
      <c r="K126" s="85" t="str">
        <f t="shared" si="99"/>
        <v>#VALUE!</v>
      </c>
      <c r="L126" s="41" t="s">
        <v>25</v>
      </c>
      <c r="M126" s="86" t="str">
        <f t="shared" si="100"/>
        <v>#VALUE!</v>
      </c>
      <c r="N126" s="41">
        <v>266.0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</row>
    <row r="127">
      <c r="A127" s="41">
        <v>27.0</v>
      </c>
      <c r="B127" s="40"/>
      <c r="C127" s="41" t="s">
        <v>79</v>
      </c>
      <c r="D127" s="41" t="s">
        <v>23</v>
      </c>
      <c r="E127" s="41">
        <v>0.5</v>
      </c>
      <c r="F127" s="41" t="s">
        <v>25</v>
      </c>
      <c r="G127" s="41">
        <v>0.5</v>
      </c>
      <c r="H127" s="41" t="s">
        <v>326</v>
      </c>
      <c r="I127" s="41">
        <v>92.2</v>
      </c>
      <c r="J127" s="41">
        <v>104.7</v>
      </c>
      <c r="K127" s="85">
        <f t="shared" si="99"/>
        <v>12.5</v>
      </c>
      <c r="L127" s="41" t="s">
        <v>25</v>
      </c>
      <c r="M127" s="86">
        <f t="shared" si="100"/>
        <v>13.55748373</v>
      </c>
      <c r="N127" s="41">
        <v>266.0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</row>
    <row r="128">
      <c r="A128" s="41">
        <v>28.0</v>
      </c>
      <c r="B128" s="40"/>
      <c r="C128" s="41" t="s">
        <v>345</v>
      </c>
      <c r="D128" s="41" t="s">
        <v>23</v>
      </c>
      <c r="E128" s="41">
        <v>0.5</v>
      </c>
      <c r="F128" s="41" t="s">
        <v>25</v>
      </c>
      <c r="G128" s="41">
        <v>0.5</v>
      </c>
      <c r="H128" s="41" t="s">
        <v>326</v>
      </c>
      <c r="I128" s="41">
        <v>1368.4</v>
      </c>
      <c r="J128" s="41">
        <v>1421.4</v>
      </c>
      <c r="K128" s="85">
        <f t="shared" si="99"/>
        <v>53</v>
      </c>
      <c r="L128" s="41">
        <v>9.3</v>
      </c>
      <c r="M128" s="86">
        <f t="shared" si="100"/>
        <v>3.87313651</v>
      </c>
      <c r="N128" s="41">
        <v>274.0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</row>
    <row r="129">
      <c r="A129" s="41">
        <v>29.0</v>
      </c>
      <c r="B129" s="40"/>
      <c r="C129" s="41" t="s">
        <v>22</v>
      </c>
      <c r="D129" s="41" t="s">
        <v>23</v>
      </c>
      <c r="E129" s="41">
        <v>0.5</v>
      </c>
      <c r="F129" s="41" t="s">
        <v>25</v>
      </c>
      <c r="G129" s="41">
        <v>0.5</v>
      </c>
      <c r="H129" s="41" t="s">
        <v>326</v>
      </c>
      <c r="I129" s="41">
        <v>126.9</v>
      </c>
      <c r="J129" s="41">
        <v>139.3</v>
      </c>
      <c r="K129" s="85">
        <f t="shared" si="99"/>
        <v>12.4</v>
      </c>
      <c r="L129" s="41">
        <v>10.4</v>
      </c>
      <c r="M129" s="86">
        <f t="shared" si="100"/>
        <v>9.771473601</v>
      </c>
      <c r="N129" s="41">
        <v>274.0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</row>
    <row r="130">
      <c r="A130" s="41">
        <v>30.0</v>
      </c>
      <c r="B130" s="40"/>
      <c r="C130" s="41" t="s">
        <v>185</v>
      </c>
      <c r="D130" s="41" t="s">
        <v>23</v>
      </c>
      <c r="E130" s="41">
        <v>0.5</v>
      </c>
      <c r="F130" s="41" t="s">
        <v>25</v>
      </c>
      <c r="G130" s="41">
        <v>0.5</v>
      </c>
      <c r="H130" s="41" t="s">
        <v>326</v>
      </c>
      <c r="I130" s="41">
        <v>181.3</v>
      </c>
      <c r="J130" s="41">
        <v>196.2</v>
      </c>
      <c r="K130" s="85">
        <f t="shared" si="99"/>
        <v>14.9</v>
      </c>
      <c r="L130" s="41">
        <v>6.8</v>
      </c>
      <c r="M130" s="86">
        <f t="shared" si="100"/>
        <v>8.218422504</v>
      </c>
      <c r="N130" s="41">
        <v>275.0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</row>
    <row r="131">
      <c r="A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</row>
    <row r="132">
      <c r="A132" s="60" t="s">
        <v>346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</row>
    <row r="133">
      <c r="A133" s="41">
        <v>31.0</v>
      </c>
      <c r="B133" s="40"/>
      <c r="C133" s="41" t="s">
        <v>44</v>
      </c>
      <c r="D133" s="41" t="s">
        <v>23</v>
      </c>
      <c r="E133" s="41">
        <v>0.5</v>
      </c>
      <c r="F133" s="41" t="s">
        <v>25</v>
      </c>
      <c r="G133" s="41">
        <v>0.5</v>
      </c>
      <c r="H133" s="41" t="s">
        <v>326</v>
      </c>
      <c r="I133" s="40"/>
      <c r="J133" s="41">
        <v>102.7</v>
      </c>
      <c r="K133" s="85">
        <f t="shared" ref="K133:K151" si="101">J133-I133</f>
        <v>102.7</v>
      </c>
      <c r="L133" s="40"/>
      <c r="M133" s="86" t="str">
        <f t="shared" ref="M133:M137" si="102">J133*100/I133-100</f>
        <v>#DIV/0!</v>
      </c>
      <c r="N133" s="41">
        <v>279.0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</row>
    <row r="134">
      <c r="A134" s="41">
        <v>32.0</v>
      </c>
      <c r="B134" s="40"/>
      <c r="C134" s="41" t="s">
        <v>54</v>
      </c>
      <c r="D134" s="41" t="s">
        <v>23</v>
      </c>
      <c r="E134" s="41"/>
      <c r="F134" s="41"/>
      <c r="G134" s="41"/>
      <c r="H134" s="41" t="s">
        <v>326</v>
      </c>
      <c r="I134" s="40"/>
      <c r="J134" s="41"/>
      <c r="K134" s="85">
        <f t="shared" si="101"/>
        <v>0</v>
      </c>
      <c r="L134" s="40"/>
      <c r="M134" s="86" t="str">
        <f t="shared" si="102"/>
        <v>#DIV/0!</v>
      </c>
      <c r="N134" s="4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</row>
    <row r="135">
      <c r="A135" s="41">
        <v>33.0</v>
      </c>
      <c r="B135" s="89"/>
      <c r="C135" s="41" t="s">
        <v>44</v>
      </c>
      <c r="D135" s="41" t="s">
        <v>23</v>
      </c>
      <c r="E135" s="41"/>
      <c r="F135" s="41"/>
      <c r="G135" s="41"/>
      <c r="H135" s="41" t="s">
        <v>326</v>
      </c>
      <c r="I135" s="40"/>
      <c r="J135" s="41">
        <v>175.0</v>
      </c>
      <c r="K135" s="85">
        <f t="shared" si="101"/>
        <v>175</v>
      </c>
      <c r="L135" s="40"/>
      <c r="M135" s="86" t="str">
        <f t="shared" si="102"/>
        <v>#DIV/0!</v>
      </c>
      <c r="N135" s="40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</row>
    <row r="136">
      <c r="A136" s="41">
        <v>34.0</v>
      </c>
      <c r="B136" s="1"/>
      <c r="C136" s="41" t="s">
        <v>98</v>
      </c>
      <c r="D136" s="41" t="s">
        <v>23</v>
      </c>
      <c r="E136" s="41"/>
      <c r="F136" s="41"/>
      <c r="G136" s="41"/>
      <c r="H136" s="41" t="s">
        <v>326</v>
      </c>
      <c r="I136" s="40"/>
      <c r="J136" s="41">
        <v>82.0</v>
      </c>
      <c r="K136" s="85">
        <f t="shared" si="101"/>
        <v>82</v>
      </c>
      <c r="L136" s="40"/>
      <c r="M136" s="86" t="str">
        <f t="shared" si="102"/>
        <v>#DIV/0!</v>
      </c>
      <c r="N136" s="40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</row>
    <row r="137">
      <c r="A137" s="41">
        <v>35.0</v>
      </c>
      <c r="B137" s="40"/>
      <c r="C137" s="40"/>
      <c r="D137" s="41" t="s">
        <v>23</v>
      </c>
      <c r="E137" s="41"/>
      <c r="F137" s="41"/>
      <c r="G137" s="41"/>
      <c r="H137" s="41" t="s">
        <v>326</v>
      </c>
      <c r="I137" s="40"/>
      <c r="J137" s="40"/>
      <c r="K137" s="85">
        <f t="shared" si="101"/>
        <v>0</v>
      </c>
      <c r="L137" s="40"/>
      <c r="M137" s="86" t="str">
        <f t="shared" si="102"/>
        <v>#DIV/0!</v>
      </c>
      <c r="N137" s="40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</row>
    <row r="138">
      <c r="A138" s="41">
        <v>36.0</v>
      </c>
      <c r="B138" s="40"/>
      <c r="C138" s="40"/>
      <c r="D138" s="41" t="s">
        <v>23</v>
      </c>
      <c r="E138" s="41"/>
      <c r="F138" s="41"/>
      <c r="G138" s="41"/>
      <c r="H138" s="41" t="s">
        <v>326</v>
      </c>
      <c r="I138" s="40"/>
      <c r="J138" s="40"/>
      <c r="K138" s="85">
        <f t="shared" si="101"/>
        <v>0</v>
      </c>
      <c r="L138" s="40"/>
      <c r="M138" s="40"/>
      <c r="N138" s="40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</row>
    <row r="139">
      <c r="A139" s="41">
        <v>37.0</v>
      </c>
      <c r="B139" s="40"/>
      <c r="C139" s="40"/>
      <c r="D139" s="41" t="s">
        <v>23</v>
      </c>
      <c r="E139" s="41"/>
      <c r="F139" s="41"/>
      <c r="G139" s="41"/>
      <c r="H139" s="41" t="s">
        <v>326</v>
      </c>
      <c r="I139" s="40"/>
      <c r="J139" s="40"/>
      <c r="K139" s="85">
        <f t="shared" si="101"/>
        <v>0</v>
      </c>
      <c r="L139" s="40"/>
      <c r="M139" s="40"/>
      <c r="N139" s="40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</row>
    <row r="140">
      <c r="A140" s="41">
        <v>38.0</v>
      </c>
      <c r="B140" s="40"/>
      <c r="C140" s="40"/>
      <c r="D140" s="41" t="s">
        <v>23</v>
      </c>
      <c r="E140" s="41"/>
      <c r="F140" s="41"/>
      <c r="G140" s="41"/>
      <c r="H140" s="41" t="s">
        <v>326</v>
      </c>
      <c r="I140" s="40"/>
      <c r="J140" s="40"/>
      <c r="K140" s="85">
        <f t="shared" si="101"/>
        <v>0</v>
      </c>
      <c r="L140" s="40"/>
      <c r="M140" s="40"/>
      <c r="N140" s="40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</row>
    <row r="141">
      <c r="A141" s="41">
        <v>39.0</v>
      </c>
      <c r="B141" s="40"/>
      <c r="C141" s="40"/>
      <c r="D141" s="41" t="s">
        <v>23</v>
      </c>
      <c r="E141" s="41"/>
      <c r="F141" s="41"/>
      <c r="G141" s="41"/>
      <c r="H141" s="41" t="s">
        <v>326</v>
      </c>
      <c r="I141" s="40"/>
      <c r="J141" s="40"/>
      <c r="K141" s="85">
        <f t="shared" si="101"/>
        <v>0</v>
      </c>
      <c r="L141" s="40"/>
      <c r="M141" s="40"/>
      <c r="N141" s="40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</row>
    <row r="142">
      <c r="A142" s="41">
        <v>40.0</v>
      </c>
      <c r="B142" s="40"/>
      <c r="C142" s="40"/>
      <c r="D142" s="41" t="s">
        <v>23</v>
      </c>
      <c r="E142" s="41"/>
      <c r="F142" s="41"/>
      <c r="G142" s="41"/>
      <c r="H142" s="41" t="s">
        <v>326</v>
      </c>
      <c r="I142" s="40"/>
      <c r="J142" s="40"/>
      <c r="K142" s="85">
        <f t="shared" si="101"/>
        <v>0</v>
      </c>
      <c r="L142" s="40"/>
      <c r="M142" s="40"/>
      <c r="N142" s="40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</row>
    <row r="143">
      <c r="A143" s="41">
        <v>41.0</v>
      </c>
      <c r="B143" s="40"/>
      <c r="C143" s="40"/>
      <c r="D143" s="41" t="s">
        <v>23</v>
      </c>
      <c r="E143" s="41"/>
      <c r="F143" s="41"/>
      <c r="G143" s="41"/>
      <c r="H143" s="41" t="s">
        <v>326</v>
      </c>
      <c r="I143" s="40"/>
      <c r="J143" s="40"/>
      <c r="K143" s="85">
        <f t="shared" si="101"/>
        <v>0</v>
      </c>
      <c r="L143" s="40"/>
      <c r="M143" s="40"/>
      <c r="N143" s="40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</row>
    <row r="144">
      <c r="A144" s="41">
        <v>42.0</v>
      </c>
      <c r="B144" s="40"/>
      <c r="C144" s="40"/>
      <c r="D144" s="41" t="s">
        <v>23</v>
      </c>
      <c r="E144" s="41"/>
      <c r="F144" s="41"/>
      <c r="G144" s="41"/>
      <c r="H144" s="41" t="s">
        <v>326</v>
      </c>
      <c r="I144" s="40"/>
      <c r="J144" s="40"/>
      <c r="K144" s="85">
        <f t="shared" si="101"/>
        <v>0</v>
      </c>
      <c r="L144" s="40"/>
      <c r="M144" s="40"/>
      <c r="N144" s="40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</row>
    <row r="145">
      <c r="A145" s="41">
        <v>43.0</v>
      </c>
      <c r="B145" s="40"/>
      <c r="C145" s="40"/>
      <c r="D145" s="41" t="s">
        <v>23</v>
      </c>
      <c r="E145" s="41"/>
      <c r="F145" s="41"/>
      <c r="G145" s="41"/>
      <c r="H145" s="41" t="s">
        <v>326</v>
      </c>
      <c r="I145" s="40"/>
      <c r="J145" s="40"/>
      <c r="K145" s="85">
        <f t="shared" si="101"/>
        <v>0</v>
      </c>
      <c r="L145" s="40"/>
      <c r="M145" s="40"/>
      <c r="N145" s="40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</row>
    <row r="146">
      <c r="A146" s="41">
        <v>44.0</v>
      </c>
      <c r="B146" s="40"/>
      <c r="C146" s="40"/>
      <c r="D146" s="41" t="s">
        <v>23</v>
      </c>
      <c r="E146" s="41"/>
      <c r="F146" s="41"/>
      <c r="G146" s="41"/>
      <c r="H146" s="41" t="s">
        <v>326</v>
      </c>
      <c r="I146" s="40"/>
      <c r="J146" s="40"/>
      <c r="K146" s="85">
        <f t="shared" si="101"/>
        <v>0</v>
      </c>
      <c r="L146" s="40"/>
      <c r="M146" s="40"/>
      <c r="N146" s="40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</row>
    <row r="147">
      <c r="A147" s="41">
        <v>45.0</v>
      </c>
      <c r="B147" s="40"/>
      <c r="C147" s="40"/>
      <c r="D147" s="41" t="s">
        <v>23</v>
      </c>
      <c r="E147" s="41"/>
      <c r="F147" s="41"/>
      <c r="G147" s="41"/>
      <c r="H147" s="41" t="s">
        <v>326</v>
      </c>
      <c r="I147" s="40"/>
      <c r="J147" s="40"/>
      <c r="K147" s="85">
        <f t="shared" si="101"/>
        <v>0</v>
      </c>
      <c r="L147" s="40"/>
      <c r="M147" s="40"/>
      <c r="N147" s="40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</row>
    <row r="148">
      <c r="A148" s="41">
        <v>46.0</v>
      </c>
      <c r="B148" s="40"/>
      <c r="C148" s="40"/>
      <c r="D148" s="41" t="s">
        <v>23</v>
      </c>
      <c r="E148" s="41"/>
      <c r="F148" s="41"/>
      <c r="G148" s="41"/>
      <c r="H148" s="41" t="s">
        <v>326</v>
      </c>
      <c r="I148" s="40"/>
      <c r="J148" s="40"/>
      <c r="K148" s="85">
        <f t="shared" si="101"/>
        <v>0</v>
      </c>
      <c r="L148" s="40"/>
      <c r="M148" s="40"/>
      <c r="N148" s="40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</row>
    <row r="149">
      <c r="A149" s="41">
        <v>47.0</v>
      </c>
      <c r="B149" s="40"/>
      <c r="C149" s="40"/>
      <c r="D149" s="41" t="s">
        <v>23</v>
      </c>
      <c r="E149" s="41"/>
      <c r="F149" s="41"/>
      <c r="G149" s="41"/>
      <c r="H149" s="41" t="s">
        <v>326</v>
      </c>
      <c r="I149" s="40"/>
      <c r="J149" s="40"/>
      <c r="K149" s="85">
        <f t="shared" si="101"/>
        <v>0</v>
      </c>
      <c r="L149" s="40"/>
      <c r="M149" s="40"/>
      <c r="N149" s="40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</row>
    <row r="150">
      <c r="A150" s="41">
        <v>48.0</v>
      </c>
      <c r="B150" s="40"/>
      <c r="C150" s="40"/>
      <c r="D150" s="41" t="s">
        <v>23</v>
      </c>
      <c r="E150" s="41"/>
      <c r="F150" s="41"/>
      <c r="G150" s="41"/>
      <c r="H150" s="41" t="s">
        <v>326</v>
      </c>
      <c r="I150" s="40"/>
      <c r="J150" s="40"/>
      <c r="K150" s="85">
        <f t="shared" si="101"/>
        <v>0</v>
      </c>
      <c r="L150" s="40"/>
      <c r="M150" s="40"/>
      <c r="N150" s="40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</row>
    <row r="151">
      <c r="A151" s="41">
        <v>49.0</v>
      </c>
      <c r="B151" s="40"/>
      <c r="C151" s="40"/>
      <c r="D151" s="41" t="s">
        <v>23</v>
      </c>
      <c r="E151" s="41"/>
      <c r="F151" s="41"/>
      <c r="G151" s="41"/>
      <c r="H151" s="41" t="s">
        <v>326</v>
      </c>
      <c r="I151" s="40"/>
      <c r="J151" s="40"/>
      <c r="K151" s="85">
        <f t="shared" si="101"/>
        <v>0</v>
      </c>
      <c r="L151" s="40"/>
      <c r="M151" s="40"/>
      <c r="N151" s="40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</row>
    <row r="303">
      <c r="A303" s="40"/>
      <c r="B303" s="1"/>
      <c r="C303" s="41" t="s">
        <v>22</v>
      </c>
      <c r="D303" s="41" t="s">
        <v>23</v>
      </c>
      <c r="E303" s="41" t="s">
        <v>23</v>
      </c>
      <c r="F303" s="41" t="s">
        <v>25</v>
      </c>
      <c r="G303" s="41" t="s">
        <v>23</v>
      </c>
      <c r="H303" s="41" t="s">
        <v>326</v>
      </c>
      <c r="I303" s="41">
        <v>610.1</v>
      </c>
      <c r="J303" s="41">
        <v>761.5</v>
      </c>
      <c r="K303" s="90">
        <f t="shared" ref="K303:K316" si="103">J303-I303</f>
        <v>151.4</v>
      </c>
      <c r="L303" s="41">
        <v>5.4</v>
      </c>
      <c r="M303" s="42">
        <f t="shared" ref="M303:M324" si="104">J303*100/I303-100</f>
        <v>24.815604</v>
      </c>
      <c r="N303" s="41">
        <v>1.0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</row>
    <row r="304">
      <c r="A304" s="40"/>
      <c r="B304" s="1"/>
      <c r="C304" s="41" t="s">
        <v>41</v>
      </c>
      <c r="D304" s="41" t="s">
        <v>23</v>
      </c>
      <c r="E304" s="41" t="s">
        <v>23</v>
      </c>
      <c r="F304" s="41" t="s">
        <v>25</v>
      </c>
      <c r="G304" s="41" t="s">
        <v>23</v>
      </c>
      <c r="H304" s="41" t="s">
        <v>326</v>
      </c>
      <c r="I304" s="41">
        <v>648.2</v>
      </c>
      <c r="J304" s="41">
        <v>700.2</v>
      </c>
      <c r="K304" s="85">
        <f t="shared" si="103"/>
        <v>52</v>
      </c>
      <c r="L304" s="41">
        <v>8.8</v>
      </c>
      <c r="M304" s="86">
        <f t="shared" si="104"/>
        <v>8.022215366</v>
      </c>
      <c r="N304" s="41">
        <v>1.0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</row>
    <row r="305">
      <c r="A305" s="40"/>
      <c r="B305" s="1"/>
      <c r="C305" s="41" t="s">
        <v>47</v>
      </c>
      <c r="D305" s="41" t="s">
        <v>23</v>
      </c>
      <c r="E305" s="41" t="s">
        <v>23</v>
      </c>
      <c r="F305" s="41" t="s">
        <v>25</v>
      </c>
      <c r="G305" s="41" t="s">
        <v>23</v>
      </c>
      <c r="H305" s="41" t="s">
        <v>326</v>
      </c>
      <c r="I305" s="41">
        <v>112.9</v>
      </c>
      <c r="J305" s="41">
        <v>116.9</v>
      </c>
      <c r="K305" s="85">
        <f t="shared" si="103"/>
        <v>4</v>
      </c>
      <c r="L305" s="41">
        <v>1.2</v>
      </c>
      <c r="M305" s="42">
        <f t="shared" si="104"/>
        <v>3.54295837</v>
      </c>
      <c r="N305" s="41">
        <v>2.0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</row>
    <row r="306">
      <c r="A306" s="40"/>
      <c r="B306" s="1"/>
      <c r="C306" s="41" t="s">
        <v>53</v>
      </c>
      <c r="D306" s="41" t="s">
        <v>23</v>
      </c>
      <c r="E306" s="41" t="s">
        <v>23</v>
      </c>
      <c r="F306" s="41" t="s">
        <v>25</v>
      </c>
      <c r="G306" s="41" t="s">
        <v>23</v>
      </c>
      <c r="H306" s="41" t="s">
        <v>326</v>
      </c>
      <c r="I306" s="41">
        <v>193.0</v>
      </c>
      <c r="J306" s="41">
        <v>212.8</v>
      </c>
      <c r="K306" s="85">
        <f t="shared" si="103"/>
        <v>19.8</v>
      </c>
      <c r="L306" s="41">
        <v>2.0</v>
      </c>
      <c r="M306" s="86">
        <f t="shared" si="104"/>
        <v>10.25906736</v>
      </c>
      <c r="N306" s="41">
        <v>3.0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</row>
    <row r="307">
      <c r="A307" s="40"/>
      <c r="B307" s="1"/>
      <c r="C307" s="41" t="s">
        <v>59</v>
      </c>
      <c r="D307" s="41" t="s">
        <v>23</v>
      </c>
      <c r="E307" s="41" t="s">
        <v>23</v>
      </c>
      <c r="F307" s="41" t="s">
        <v>25</v>
      </c>
      <c r="G307" s="41" t="s">
        <v>23</v>
      </c>
      <c r="H307" s="41" t="s">
        <v>326</v>
      </c>
      <c r="I307" s="41">
        <v>297.0</v>
      </c>
      <c r="J307" s="41">
        <v>313.9</v>
      </c>
      <c r="K307" s="85">
        <f t="shared" si="103"/>
        <v>16.9</v>
      </c>
      <c r="L307" s="41">
        <v>2.95</v>
      </c>
      <c r="M307" s="86">
        <f t="shared" si="104"/>
        <v>5.69023569</v>
      </c>
      <c r="N307" s="41">
        <v>3.0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</row>
    <row r="308">
      <c r="A308" s="40"/>
      <c r="B308" s="1"/>
      <c r="C308" s="41" t="s">
        <v>46</v>
      </c>
      <c r="D308" s="41" t="s">
        <v>23</v>
      </c>
      <c r="E308" s="41" t="s">
        <v>23</v>
      </c>
      <c r="F308" s="41" t="s">
        <v>25</v>
      </c>
      <c r="G308" s="41" t="s">
        <v>23</v>
      </c>
      <c r="H308" s="41" t="s">
        <v>326</v>
      </c>
      <c r="I308" s="41">
        <v>90.2</v>
      </c>
      <c r="J308" s="41">
        <v>101.5</v>
      </c>
      <c r="K308" s="85">
        <f t="shared" si="103"/>
        <v>11.3</v>
      </c>
      <c r="L308" s="41" t="s">
        <v>25</v>
      </c>
      <c r="M308" s="86">
        <f t="shared" si="104"/>
        <v>12.52771619</v>
      </c>
      <c r="N308" s="41">
        <v>4.0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</row>
    <row r="309">
      <c r="A309" s="40"/>
      <c r="B309" s="1"/>
      <c r="C309" s="41" t="s">
        <v>50</v>
      </c>
      <c r="D309" s="41" t="s">
        <v>23</v>
      </c>
      <c r="E309" s="41" t="s">
        <v>23</v>
      </c>
      <c r="F309" s="41" t="s">
        <v>25</v>
      </c>
      <c r="G309" s="41" t="s">
        <v>23</v>
      </c>
      <c r="H309" s="41" t="s">
        <v>326</v>
      </c>
      <c r="I309" s="41">
        <v>92.5</v>
      </c>
      <c r="J309" s="41">
        <v>103.3</v>
      </c>
      <c r="K309" s="85">
        <f t="shared" si="103"/>
        <v>10.8</v>
      </c>
      <c r="L309" s="41" t="s">
        <v>25</v>
      </c>
      <c r="M309" s="86">
        <f t="shared" si="104"/>
        <v>11.67567568</v>
      </c>
      <c r="N309" s="41">
        <v>4.0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</row>
    <row r="310">
      <c r="A310" s="40"/>
      <c r="B310" s="1"/>
      <c r="C310" s="41" t="s">
        <v>78</v>
      </c>
      <c r="D310" s="41" t="s">
        <v>23</v>
      </c>
      <c r="E310" s="41" t="s">
        <v>23</v>
      </c>
      <c r="F310" s="41" t="s">
        <v>25</v>
      </c>
      <c r="G310" s="41" t="s">
        <v>23</v>
      </c>
      <c r="H310" s="41" t="s">
        <v>326</v>
      </c>
      <c r="I310" s="41">
        <v>308.6</v>
      </c>
      <c r="J310" s="41">
        <v>332.7</v>
      </c>
      <c r="K310" s="85">
        <f t="shared" si="103"/>
        <v>24.1</v>
      </c>
      <c r="L310" s="41">
        <v>3.0</v>
      </c>
      <c r="M310" s="86">
        <f t="shared" si="104"/>
        <v>7.809462087</v>
      </c>
      <c r="N310" s="41">
        <v>4.0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</row>
    <row r="311">
      <c r="A311" s="40"/>
      <c r="B311" s="1"/>
      <c r="C311" s="41" t="s">
        <v>46</v>
      </c>
      <c r="D311" s="41" t="s">
        <v>23</v>
      </c>
      <c r="E311" s="41" t="s">
        <v>23</v>
      </c>
      <c r="F311" s="41" t="s">
        <v>25</v>
      </c>
      <c r="G311" s="41" t="s">
        <v>23</v>
      </c>
      <c r="H311" s="41" t="s">
        <v>326</v>
      </c>
      <c r="I311" s="41" t="s">
        <v>25</v>
      </c>
      <c r="J311" s="41">
        <v>117.3</v>
      </c>
      <c r="K311" s="85" t="str">
        <f t="shared" si="103"/>
        <v>#VALUE!</v>
      </c>
      <c r="L311" s="41" t="s">
        <v>25</v>
      </c>
      <c r="M311" s="86" t="str">
        <f t="shared" si="104"/>
        <v>#VALUE!</v>
      </c>
      <c r="N311" s="41">
        <v>5.0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</row>
    <row r="312">
      <c r="A312" s="40"/>
      <c r="B312" s="1"/>
      <c r="C312" s="41" t="s">
        <v>347</v>
      </c>
      <c r="D312" s="41" t="s">
        <v>23</v>
      </c>
      <c r="E312" s="41" t="s">
        <v>23</v>
      </c>
      <c r="F312" s="41" t="s">
        <v>25</v>
      </c>
      <c r="G312" s="41" t="s">
        <v>23</v>
      </c>
      <c r="H312" s="41" t="s">
        <v>326</v>
      </c>
      <c r="I312" s="41">
        <v>308.5</v>
      </c>
      <c r="J312" s="41">
        <v>361.2</v>
      </c>
      <c r="K312" s="85">
        <f t="shared" si="103"/>
        <v>52.7</v>
      </c>
      <c r="L312" s="41">
        <v>3.2</v>
      </c>
      <c r="M312" s="42">
        <f t="shared" si="104"/>
        <v>17.08265802</v>
      </c>
      <c r="N312" s="41">
        <v>7.0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</row>
    <row r="313">
      <c r="A313" s="40"/>
      <c r="B313" s="1"/>
      <c r="C313" s="41" t="s">
        <v>172</v>
      </c>
      <c r="D313" s="41" t="s">
        <v>23</v>
      </c>
      <c r="E313" s="41" t="s">
        <v>23</v>
      </c>
      <c r="F313" s="41" t="s">
        <v>25</v>
      </c>
      <c r="G313" s="41" t="s">
        <v>23</v>
      </c>
      <c r="H313" s="41" t="s">
        <v>326</v>
      </c>
      <c r="I313" s="41">
        <f>1836-46.7</f>
        <v>1789.3</v>
      </c>
      <c r="J313" s="41">
        <v>1971.2</v>
      </c>
      <c r="K313" s="85">
        <f t="shared" si="103"/>
        <v>181.9</v>
      </c>
      <c r="L313" s="41">
        <v>46.7</v>
      </c>
      <c r="M313" s="86">
        <f t="shared" si="104"/>
        <v>10.1659867</v>
      </c>
      <c r="N313" s="41">
        <v>9.0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</row>
    <row r="314">
      <c r="A314" s="40"/>
      <c r="B314" s="1"/>
      <c r="C314" s="41" t="s">
        <v>289</v>
      </c>
      <c r="D314" s="41" t="s">
        <v>23</v>
      </c>
      <c r="E314" s="41" t="s">
        <v>23</v>
      </c>
      <c r="F314" s="41" t="s">
        <v>25</v>
      </c>
      <c r="G314" s="41" t="s">
        <v>23</v>
      </c>
      <c r="H314" s="41" t="s">
        <v>338</v>
      </c>
      <c r="I314" s="41" t="s">
        <v>348</v>
      </c>
      <c r="J314" s="41">
        <v>10.2</v>
      </c>
      <c r="K314" s="85" t="str">
        <f t="shared" si="103"/>
        <v>#VALUE!</v>
      </c>
      <c r="L314" s="41" t="s">
        <v>38</v>
      </c>
      <c r="M314" s="86" t="str">
        <f t="shared" si="104"/>
        <v>#VALUE!</v>
      </c>
      <c r="N314" s="41">
        <v>11.0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</row>
    <row r="315">
      <c r="A315" s="40"/>
      <c r="B315" s="1"/>
      <c r="C315" s="41" t="s">
        <v>54</v>
      </c>
      <c r="D315" s="41" t="s">
        <v>23</v>
      </c>
      <c r="E315" s="41" t="s">
        <v>23</v>
      </c>
      <c r="F315" s="41" t="s">
        <v>25</v>
      </c>
      <c r="G315" s="41" t="s">
        <v>23</v>
      </c>
      <c r="H315" s="41" t="s">
        <v>338</v>
      </c>
      <c r="I315" s="41">
        <v>66.7</v>
      </c>
      <c r="J315" s="41">
        <v>70.4</v>
      </c>
      <c r="K315" s="85">
        <f t="shared" si="103"/>
        <v>3.7</v>
      </c>
      <c r="L315" s="41" t="s">
        <v>38</v>
      </c>
      <c r="M315" s="86">
        <f t="shared" si="104"/>
        <v>5.547226387</v>
      </c>
      <c r="N315" s="41">
        <v>12.0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</row>
    <row r="316">
      <c r="A316" s="40"/>
      <c r="B316" s="1"/>
      <c r="C316" s="41" t="s">
        <v>41</v>
      </c>
      <c r="D316" s="41" t="s">
        <v>23</v>
      </c>
      <c r="E316" s="41" t="s">
        <v>23</v>
      </c>
      <c r="F316" s="41" t="s">
        <v>25</v>
      </c>
      <c r="G316" s="41" t="s">
        <v>23</v>
      </c>
      <c r="H316" s="41" t="s">
        <v>326</v>
      </c>
      <c r="I316" s="41">
        <f>901.3-9.8</f>
        <v>891.5</v>
      </c>
      <c r="J316" s="41">
        <v>982.1</v>
      </c>
      <c r="K316" s="85">
        <f t="shared" si="103"/>
        <v>90.6</v>
      </c>
      <c r="L316" s="41">
        <v>9.8</v>
      </c>
      <c r="M316" s="86">
        <f t="shared" si="104"/>
        <v>10.16264722</v>
      </c>
      <c r="N316" s="41">
        <v>23.0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</row>
    <row r="317">
      <c r="A317" s="40"/>
      <c r="B317" s="1"/>
      <c r="C317" s="41" t="s">
        <v>46</v>
      </c>
      <c r="D317" s="41" t="s">
        <v>23</v>
      </c>
      <c r="E317" s="41" t="s">
        <v>23</v>
      </c>
      <c r="F317" s="41" t="s">
        <v>25</v>
      </c>
      <c r="G317" s="41" t="s">
        <v>23</v>
      </c>
      <c r="H317" s="41" t="s">
        <v>338</v>
      </c>
      <c r="I317" s="41" t="s">
        <v>38</v>
      </c>
      <c r="J317" s="40"/>
      <c r="K317" s="85">
        <v>71.2</v>
      </c>
      <c r="L317" s="41" t="s">
        <v>38</v>
      </c>
      <c r="M317" s="86" t="str">
        <f t="shared" si="104"/>
        <v>#VALUE!</v>
      </c>
      <c r="N317" s="41">
        <v>24.0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</row>
    <row r="318">
      <c r="A318" s="40"/>
      <c r="B318" s="1"/>
      <c r="C318" s="41" t="s">
        <v>39</v>
      </c>
      <c r="D318" s="41" t="s">
        <v>23</v>
      </c>
      <c r="E318" s="41" t="s">
        <v>23</v>
      </c>
      <c r="F318" s="41" t="s">
        <v>25</v>
      </c>
      <c r="G318" s="41" t="s">
        <v>23</v>
      </c>
      <c r="H318" s="41" t="s">
        <v>338</v>
      </c>
      <c r="I318" s="41">
        <v>98.6</v>
      </c>
      <c r="J318" s="41">
        <v>103.6</v>
      </c>
      <c r="K318" s="85">
        <f t="shared" ref="K318:K324" si="105">J318-I318</f>
        <v>5</v>
      </c>
      <c r="L318" s="41">
        <v>1.2</v>
      </c>
      <c r="M318" s="86">
        <f t="shared" si="104"/>
        <v>5.070993915</v>
      </c>
      <c r="N318" s="41">
        <v>24.0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</row>
    <row r="319">
      <c r="A319" s="40"/>
      <c r="B319" s="1"/>
      <c r="C319" s="41" t="s">
        <v>22</v>
      </c>
      <c r="D319" s="41" t="s">
        <v>23</v>
      </c>
      <c r="E319" s="41" t="s">
        <v>23</v>
      </c>
      <c r="F319" s="41" t="s">
        <v>25</v>
      </c>
      <c r="G319" s="41" t="s">
        <v>23</v>
      </c>
      <c r="H319" s="41" t="s">
        <v>326</v>
      </c>
      <c r="I319" s="41">
        <v>1579.2</v>
      </c>
      <c r="J319" s="41">
        <v>1676.5</v>
      </c>
      <c r="K319" s="85">
        <f t="shared" si="105"/>
        <v>97.3</v>
      </c>
      <c r="L319" s="41">
        <v>21.9</v>
      </c>
      <c r="M319" s="86">
        <f t="shared" si="104"/>
        <v>6.161347518</v>
      </c>
      <c r="N319" s="41">
        <v>26.0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</row>
    <row r="320">
      <c r="A320" s="40"/>
      <c r="B320" s="1"/>
      <c r="C320" s="41" t="s">
        <v>41</v>
      </c>
      <c r="D320" s="41" t="s">
        <v>23</v>
      </c>
      <c r="E320" s="41" t="s">
        <v>23</v>
      </c>
      <c r="F320" s="41" t="s">
        <v>25</v>
      </c>
      <c r="G320" s="41" t="s">
        <v>23</v>
      </c>
      <c r="H320" s="41" t="s">
        <v>326</v>
      </c>
      <c r="I320" s="41">
        <v>133.9</v>
      </c>
      <c r="J320" s="41">
        <v>143.5</v>
      </c>
      <c r="K320" s="85">
        <f t="shared" si="105"/>
        <v>9.6</v>
      </c>
      <c r="L320" s="41">
        <v>3.5</v>
      </c>
      <c r="M320" s="86">
        <f t="shared" si="104"/>
        <v>7.1695295</v>
      </c>
      <c r="N320" s="41">
        <v>27.0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</row>
    <row r="321">
      <c r="A321" s="40"/>
      <c r="B321" s="1"/>
      <c r="C321" s="41" t="s">
        <v>22</v>
      </c>
      <c r="D321" s="41" t="s">
        <v>23</v>
      </c>
      <c r="E321" s="41" t="s">
        <v>23</v>
      </c>
      <c r="F321" s="41" t="s">
        <v>25</v>
      </c>
      <c r="G321" s="41" t="s">
        <v>23</v>
      </c>
      <c r="H321" s="41" t="s">
        <v>326</v>
      </c>
      <c r="I321" s="41">
        <f>1601-12</f>
        <v>1589</v>
      </c>
      <c r="J321" s="41">
        <v>1694.5</v>
      </c>
      <c r="K321" s="85">
        <f t="shared" si="105"/>
        <v>105.5</v>
      </c>
      <c r="L321" s="41">
        <v>12.0</v>
      </c>
      <c r="M321" s="86">
        <f t="shared" si="104"/>
        <v>6.639395846</v>
      </c>
      <c r="N321" s="41">
        <v>33.0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</row>
    <row r="322">
      <c r="A322" s="40"/>
      <c r="B322" s="1"/>
      <c r="C322" s="41" t="s">
        <v>123</v>
      </c>
      <c r="D322" s="41" t="s">
        <v>23</v>
      </c>
      <c r="E322" s="41" t="s">
        <v>23</v>
      </c>
      <c r="F322" s="41" t="s">
        <v>25</v>
      </c>
      <c r="G322" s="41" t="s">
        <v>23</v>
      </c>
      <c r="H322" s="41" t="s">
        <v>338</v>
      </c>
      <c r="I322" s="41">
        <v>73.9</v>
      </c>
      <c r="J322" s="41">
        <v>81.3</v>
      </c>
      <c r="K322" s="85">
        <f t="shared" si="105"/>
        <v>7.4</v>
      </c>
      <c r="L322" s="41">
        <v>0.3</v>
      </c>
      <c r="M322" s="86">
        <f t="shared" si="104"/>
        <v>10.0135318</v>
      </c>
      <c r="N322" s="41">
        <v>37.0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</row>
    <row r="323">
      <c r="A323" s="40"/>
      <c r="B323" s="1"/>
      <c r="C323" s="41" t="s">
        <v>127</v>
      </c>
      <c r="D323" s="41" t="s">
        <v>23</v>
      </c>
      <c r="E323" s="41" t="s">
        <v>23</v>
      </c>
      <c r="F323" s="41" t="s">
        <v>25</v>
      </c>
      <c r="G323" s="41" t="s">
        <v>23</v>
      </c>
      <c r="H323" s="41" t="s">
        <v>338</v>
      </c>
      <c r="I323" s="41">
        <v>43.0</v>
      </c>
      <c r="J323" s="41">
        <v>45.2</v>
      </c>
      <c r="K323" s="85">
        <f t="shared" si="105"/>
        <v>2.2</v>
      </c>
      <c r="L323" s="41">
        <v>0.25</v>
      </c>
      <c r="M323" s="86">
        <f t="shared" si="104"/>
        <v>5.11627907</v>
      </c>
      <c r="N323" s="41">
        <v>37.0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</row>
    <row r="324">
      <c r="A324" s="40"/>
      <c r="B324" s="1"/>
      <c r="C324" s="41" t="s">
        <v>99</v>
      </c>
      <c r="D324" s="41" t="s">
        <v>23</v>
      </c>
      <c r="E324" s="41" t="s">
        <v>23</v>
      </c>
      <c r="F324" s="41" t="s">
        <v>25</v>
      </c>
      <c r="G324" s="41" t="s">
        <v>23</v>
      </c>
      <c r="H324" s="41" t="s">
        <v>326</v>
      </c>
      <c r="I324" s="41">
        <v>517.9</v>
      </c>
      <c r="J324" s="41">
        <v>571.6</v>
      </c>
      <c r="K324" s="85">
        <f t="shared" si="105"/>
        <v>53.7</v>
      </c>
      <c r="L324" s="41">
        <v>3.0</v>
      </c>
      <c r="M324" s="86">
        <f t="shared" si="104"/>
        <v>10.36879707</v>
      </c>
      <c r="N324" s="41">
        <v>45.0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</row>
  </sheetData>
  <mergeCells count="192">
    <mergeCell ref="AR3:AR4"/>
    <mergeCell ref="AT3:AT4"/>
    <mergeCell ref="AU3:AU4"/>
    <mergeCell ref="AV3:AV4"/>
    <mergeCell ref="AW3:AW4"/>
    <mergeCell ref="AX3:AZ3"/>
    <mergeCell ref="BA3:BA4"/>
    <mergeCell ref="AI3:AK3"/>
    <mergeCell ref="AL3:AL4"/>
    <mergeCell ref="AM3:AM4"/>
    <mergeCell ref="AN3:AN4"/>
    <mergeCell ref="AO3:AO4"/>
    <mergeCell ref="AP3:AP4"/>
    <mergeCell ref="AQ3:AQ4"/>
    <mergeCell ref="A3:A4"/>
    <mergeCell ref="B3:B4"/>
    <mergeCell ref="C3:C4"/>
    <mergeCell ref="D3:D4"/>
    <mergeCell ref="E3:G3"/>
    <mergeCell ref="H3:H4"/>
    <mergeCell ref="I3:I4"/>
    <mergeCell ref="A5:N5"/>
    <mergeCell ref="J3:J4"/>
    <mergeCell ref="K3:K4"/>
    <mergeCell ref="L3:L4"/>
    <mergeCell ref="M3:M4"/>
    <mergeCell ref="N3:N4"/>
    <mergeCell ref="P3:P4"/>
    <mergeCell ref="Q3:Q4"/>
    <mergeCell ref="AA3:AA4"/>
    <mergeCell ref="AB3:AB4"/>
    <mergeCell ref="AC3:AC4"/>
    <mergeCell ref="AE3:AE4"/>
    <mergeCell ref="AF3:AF4"/>
    <mergeCell ref="AG3:AG4"/>
    <mergeCell ref="AH3:AH4"/>
    <mergeCell ref="BB3:BB4"/>
    <mergeCell ref="BC3:BC4"/>
    <mergeCell ref="BD3:BD4"/>
    <mergeCell ref="BE3:BE4"/>
    <mergeCell ref="BF3:BF4"/>
    <mergeCell ref="BG3:BG4"/>
    <mergeCell ref="BI3:BI4"/>
    <mergeCell ref="AT5:BG5"/>
    <mergeCell ref="BI5:BV5"/>
    <mergeCell ref="AT6:BG7"/>
    <mergeCell ref="AT8:BG8"/>
    <mergeCell ref="AT9:BG9"/>
    <mergeCell ref="BX11:CK11"/>
    <mergeCell ref="AE5:AR5"/>
    <mergeCell ref="AE7:AR7"/>
    <mergeCell ref="AE8:AR8"/>
    <mergeCell ref="P5:AC5"/>
    <mergeCell ref="P10:AC10"/>
    <mergeCell ref="P11:AC11"/>
    <mergeCell ref="R3:R4"/>
    <mergeCell ref="S3:S4"/>
    <mergeCell ref="T3:V3"/>
    <mergeCell ref="W3:W4"/>
    <mergeCell ref="X3:X4"/>
    <mergeCell ref="Y3:Y4"/>
    <mergeCell ref="Z3:Z4"/>
    <mergeCell ref="P46:AC46"/>
    <mergeCell ref="P47:AC47"/>
    <mergeCell ref="AE47:AR47"/>
    <mergeCell ref="AE48:AR48"/>
    <mergeCell ref="BI49:BV49"/>
    <mergeCell ref="BI50:BV50"/>
    <mergeCell ref="A55:N55"/>
    <mergeCell ref="A56:N56"/>
    <mergeCell ref="P57:AC57"/>
    <mergeCell ref="AE57:AR57"/>
    <mergeCell ref="BI57:BV57"/>
    <mergeCell ref="AE58:AR58"/>
    <mergeCell ref="BI58:BV58"/>
    <mergeCell ref="BI73:BV73"/>
    <mergeCell ref="BI15:BV15"/>
    <mergeCell ref="AT16:BG16"/>
    <mergeCell ref="BI16:BV16"/>
    <mergeCell ref="AT17:BG17"/>
    <mergeCell ref="AE18:AR18"/>
    <mergeCell ref="BI18:BV18"/>
    <mergeCell ref="BI19:BV19"/>
    <mergeCell ref="P18:AC18"/>
    <mergeCell ref="A19:N19"/>
    <mergeCell ref="P19:AC19"/>
    <mergeCell ref="AE19:AR19"/>
    <mergeCell ref="A20:N20"/>
    <mergeCell ref="P21:AC21"/>
    <mergeCell ref="P22:AC22"/>
    <mergeCell ref="AE22:AR22"/>
    <mergeCell ref="AE23:AR23"/>
    <mergeCell ref="AT24:BG24"/>
    <mergeCell ref="AT25:BG25"/>
    <mergeCell ref="P26:AC26"/>
    <mergeCell ref="AE26:AR26"/>
    <mergeCell ref="AE27:AR27"/>
    <mergeCell ref="P27:AC27"/>
    <mergeCell ref="P30:AC30"/>
    <mergeCell ref="AE31:AR31"/>
    <mergeCell ref="AE32:AR32"/>
    <mergeCell ref="P35:AC35"/>
    <mergeCell ref="P36:AC36"/>
    <mergeCell ref="A37:N37"/>
    <mergeCell ref="A38:N38"/>
    <mergeCell ref="AE39:AR39"/>
    <mergeCell ref="AE40:AR40"/>
    <mergeCell ref="BI40:BV40"/>
    <mergeCell ref="BI41:BV41"/>
    <mergeCell ref="P43:AC43"/>
    <mergeCell ref="P44:AC44"/>
    <mergeCell ref="A73:N73"/>
    <mergeCell ref="A74:N74"/>
    <mergeCell ref="A97:N97"/>
    <mergeCell ref="A98:N98"/>
    <mergeCell ref="A119:N119"/>
    <mergeCell ref="A120:N120"/>
    <mergeCell ref="A131:N131"/>
    <mergeCell ref="A132:N132"/>
    <mergeCell ref="AT90:BG90"/>
    <mergeCell ref="AT111:BG111"/>
    <mergeCell ref="AT112:BG112"/>
    <mergeCell ref="AT43:BG43"/>
    <mergeCell ref="AT44:BG44"/>
    <mergeCell ref="AT62:BG62"/>
    <mergeCell ref="AT63:BG63"/>
    <mergeCell ref="AT76:BG76"/>
    <mergeCell ref="AT89:BG89"/>
    <mergeCell ref="BI89:BV89"/>
    <mergeCell ref="BX17:CK17"/>
    <mergeCell ref="BX22:CK22"/>
    <mergeCell ref="BX23:CK23"/>
    <mergeCell ref="BX33:CK33"/>
    <mergeCell ref="BX34:CK34"/>
    <mergeCell ref="BX44:CK44"/>
    <mergeCell ref="BX45:CK45"/>
    <mergeCell ref="BX55:CK55"/>
    <mergeCell ref="BX56:CK56"/>
    <mergeCell ref="BX59:CK59"/>
    <mergeCell ref="BX60:CK60"/>
    <mergeCell ref="BX61:CK62"/>
    <mergeCell ref="BX63:CK63"/>
    <mergeCell ref="BX64:CK64"/>
    <mergeCell ref="BS3:BS4"/>
    <mergeCell ref="BT3:BT4"/>
    <mergeCell ref="BU3:BU4"/>
    <mergeCell ref="BV3:BV4"/>
    <mergeCell ref="BX3:BX4"/>
    <mergeCell ref="BY3:BY4"/>
    <mergeCell ref="BZ3:BZ4"/>
    <mergeCell ref="CA3:CA4"/>
    <mergeCell ref="CB3:CD3"/>
    <mergeCell ref="CE3:CE4"/>
    <mergeCell ref="CF3:CF4"/>
    <mergeCell ref="CG3:CG4"/>
    <mergeCell ref="CH3:CH4"/>
    <mergeCell ref="CI3:CI4"/>
    <mergeCell ref="BX5:CK5"/>
    <mergeCell ref="CJ3:CJ4"/>
    <mergeCell ref="CK3:CK4"/>
    <mergeCell ref="CM3:CM4"/>
    <mergeCell ref="CN3:CN4"/>
    <mergeCell ref="CO3:CO4"/>
    <mergeCell ref="CP3:CP4"/>
    <mergeCell ref="CQ3:CS3"/>
    <mergeCell ref="CT3:CT4"/>
    <mergeCell ref="CU3:CU4"/>
    <mergeCell ref="CV3:CV4"/>
    <mergeCell ref="CW3:CW4"/>
    <mergeCell ref="CX3:CX4"/>
    <mergeCell ref="CY3:CY4"/>
    <mergeCell ref="CZ3:CZ4"/>
    <mergeCell ref="BJ3:BJ4"/>
    <mergeCell ref="BK3:BK4"/>
    <mergeCell ref="BL3:BL4"/>
    <mergeCell ref="BM3:BO3"/>
    <mergeCell ref="BP3:BP4"/>
    <mergeCell ref="BQ3:BQ4"/>
    <mergeCell ref="BR3:BR4"/>
    <mergeCell ref="BI72:BV72"/>
    <mergeCell ref="BI79:BV79"/>
    <mergeCell ref="BI80:BV80"/>
    <mergeCell ref="BI88:BV88"/>
    <mergeCell ref="CM83:CZ83"/>
    <mergeCell ref="CM86:CZ86"/>
    <mergeCell ref="CM5:CZ5"/>
    <mergeCell ref="CM14:CZ14"/>
    <mergeCell ref="CM29:CZ29"/>
    <mergeCell ref="CM30:CZ30"/>
    <mergeCell ref="CM53:CZ53"/>
    <mergeCell ref="CM54:CZ54"/>
    <mergeCell ref="CM78:CZ78"/>
  </mergeCells>
  <dataValidations>
    <dataValidation type="list" allowBlank="1" showErrorMessage="1" sqref="H99:H118 H121:H130 H133:H151 H303:H324">
      <formula1>"ALU ,COP"</formula1>
    </dataValidation>
    <dataValidation type="list" allowBlank="1" showErrorMessage="1" sqref="AL6 W6:W9 CT6:CT13 BP6:BP14 BA10:BA15 W12:W17 AL9:AL17 BP17 H6:H18 W20 AL20:AL21 BA18:BA23 W23:W25 AL24:AL25 CT15:CT28 W28:W29 AL28:AL30 W31:W34 H21:H36 AL33:AL37 BP20:BP39 W37:W42 BA26:BA42 W45 AL41:AL46 BP42:BP48 W48:W50 CT31:CT52 H39:H54 AL49:AL56 BP51:BP56 BA45:BA61 CT55:CT64 BP59:BP71 H57:H72 BA64:BA75 BP74:BP78 BP81:BP87 H75:H96">
      <formula1>"Alu,Cop"</formula1>
    </dataValidation>
    <dataValidation type="list" allowBlank="1" showErrorMessage="1" sqref="CE6:CE9 CE12:CE15 CE18:CE21 CE24:CE32 CE35:CE43 CE46:CE54 CE57:CE58 CE65:CE74">
      <formula1>"Alu ,Cop"</formula1>
    </dataValidation>
    <dataValidation type="list" allowBlank="1" showErrorMessage="1" sqref="CT84:CT85 BA77:BA88 CT87:CT93 BA91:BA110">
      <formula1>"Alu,Cop"</formula1>
    </dataValidation>
  </dataValidations>
  <drawing r:id="rId1"/>
</worksheet>
</file>